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8800" windowHeight="12255" tabRatio="798"/>
  </bookViews>
  <sheets>
    <sheet name="PACKINGLIST" sheetId="1" r:id="rId1"/>
    <sheet name="USD INVOICE" sheetId="2" r:id="rId2"/>
  </sheets>
  <definedNames>
    <definedName name="_xlnm._FilterDatabase" localSheetId="0" hidden="1">PACKINGLIST!$A$14:$O$231</definedName>
    <definedName name="_xlnm._FilterDatabase" localSheetId="1" hidden="1">'USD INVOICE'!$A$14:$M$225</definedName>
    <definedName name="_xlnm.Print_Area" localSheetId="0">PACKINGLIST!$A$1:$O$233</definedName>
    <definedName name="_xlnm.Print_Area" localSheetId="1">'USD INVOICE'!$A$1:$I$252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<sst xmlns="http://schemas.openxmlformats.org/spreadsheetml/2006/main" count="710" uniqueCount="393">
  <si>
    <t>YIWU CHANXI IMPORT AND EXPORT CO., LTD.</t>
  </si>
  <si>
    <t>ROOM 202, BUILDING 1, NO. 4, WEST STATION, WESTERN VILLAGE, CHENGXI SUB-DISTRICT, YIWU CITY JINHUA, ZHEJIANG PROVINCE</t>
  </si>
  <si>
    <t xml:space="preserve"> PACKING LIST</t>
  </si>
  <si>
    <t>INVOICE NO:</t>
  </si>
  <si>
    <t>SPVH26-CYW0201(DIY-ASL)</t>
  </si>
  <si>
    <t>BUYER:</t>
  </si>
  <si>
    <t>DATE:</t>
  </si>
  <si>
    <t>MRDIY TIENDAS, S.L.U.
B06793269
CALLE BRAVO MURILLO, 189
LOCAL COMERCIAL, PLANTA BAJA
28020 MADRID SPAIN</t>
  </si>
  <si>
    <t>FROM : NINGBO</t>
  </si>
  <si>
    <t>EXW B1 BUILDING, SIHAI ROAD, PULUOSI LOGISTICS PARK, YIWU, CHINA</t>
  </si>
  <si>
    <t>NO.</t>
  </si>
  <si>
    <t>BAR CODE</t>
  </si>
  <si>
    <t>NAME OF PRODUCT</t>
  </si>
  <si>
    <t>TOTAL CTN</t>
  </si>
  <si>
    <t>QTTY/CTN</t>
  </si>
  <si>
    <t>TOTAL QTTY</t>
  </si>
  <si>
    <t>UNIT QTTY</t>
  </si>
  <si>
    <t>TOTAL G.W(KG)</t>
  </si>
  <si>
    <t>TOTAL N.W(KG)</t>
  </si>
  <si>
    <t>TOTAL CBM</t>
  </si>
  <si>
    <t>HS CODE(SPAIN)</t>
  </si>
  <si>
    <t>MATERIAL</t>
  </si>
  <si>
    <t>Dept</t>
  </si>
  <si>
    <t>Average blister weight per unit (g)</t>
  </si>
  <si>
    <t>Total weight (g)</t>
  </si>
  <si>
    <t>WINE GIFT BAG (KRAFT) 12*39*9CM</t>
  </si>
  <si>
    <t>PCS</t>
  </si>
  <si>
    <t>Kraft Paper100%</t>
  </si>
  <si>
    <t>904N</t>
  </si>
  <si>
    <t>WINE GIFT BAG (KRAFT) 18*36*8.5CM</t>
  </si>
  <si>
    <t>PAPER BAG 33*25.5*12.5#</t>
  </si>
  <si>
    <t>PAPER99%+POLYESTER1%</t>
  </si>
  <si>
    <t>PAPER BAG 32*25.5*11#</t>
  </si>
  <si>
    <t>PAPER BAG 45*31*19CM</t>
  </si>
  <si>
    <t>PAPER BAG - M 27*19*9CM</t>
  </si>
  <si>
    <t>PAPER BAG - L 37*27.8*10CM</t>
  </si>
  <si>
    <t>CAR NECK SUPPORT -SG0208</t>
  </si>
  <si>
    <t>PE SPONGE60%+POLYESTER40%</t>
  </si>
  <si>
    <t>CAR NECK SUPPORT -SG0210</t>
  </si>
  <si>
    <t>CAR LUMBAR SUPPORT -SG0211</t>
  </si>
  <si>
    <t>MEMORY FOAM HEAD REST -EM022HS</t>
  </si>
  <si>
    <t>ANTI SLIP MAT -EM058</t>
  </si>
  <si>
    <t>PVC 100%</t>
  </si>
  <si>
    <t>CAR DOOR SEAL STRIP -EM059</t>
  </si>
  <si>
    <t>PVC80%+CARBON STEEL20%</t>
  </si>
  <si>
    <t>CAR SEAT GAP ORGANISER -EM068</t>
  </si>
  <si>
    <t>PP 100%</t>
  </si>
  <si>
    <t>STEERING COVER -EC007</t>
  </si>
  <si>
    <t>PVC40%+PC30%+TPR20%+TPE10%</t>
  </si>
  <si>
    <t>MINI HORSE KEYCHAIN 6*19CM_YS0106#</t>
  </si>
  <si>
    <t>Resin 60% + PU 30% + Zinc Alloy 10%</t>
  </si>
  <si>
    <t>ORNAMENT (CAT)_BS0109-07#</t>
  </si>
  <si>
    <t>Resin 100%</t>
  </si>
  <si>
    <t>ORNAMENT (VEGE)_BS0106-07#</t>
  </si>
  <si>
    <t>ORNAMENT (PANDA)_BS0095-07#</t>
  </si>
  <si>
    <t>ORNAMENT (FISHING)_BS0114-07#</t>
  </si>
  <si>
    <t>ORNAMENT (HEDGEHOG)_BS0122-07#</t>
  </si>
  <si>
    <t>KITCHEN TOWEL #3827</t>
  </si>
  <si>
    <t>BAG</t>
  </si>
  <si>
    <t>POLYESTER80%+POLYAMIDE20%</t>
  </si>
  <si>
    <t>POP BALL PEN BLK 0.7MM_2197825-3#</t>
  </si>
  <si>
    <t>Pen holder: ABS 100%
Cartoon: Polyester60% +PP cotton40%</t>
  </si>
  <si>
    <t>COLOR FILLING BOOK</t>
  </si>
  <si>
    <t>PAPER100%</t>
  </si>
  <si>
    <t xml:space="preserve">SINK SIEVE JM8042# </t>
  </si>
  <si>
    <t>STAINLESSSTEEL（201）100%</t>
  </si>
  <si>
    <t>SEWING KIT 5090#</t>
  </si>
  <si>
    <t>PS60%+IRON20%+COTTON20%</t>
  </si>
  <si>
    <t>S/S SINK GARBAGE STRAINER 8047</t>
  </si>
  <si>
    <t>STAINLESSSTEEL(201)50%+PVC35%+ABS15%</t>
  </si>
  <si>
    <t>SEWING KIT 0525#</t>
  </si>
  <si>
    <t>BOX</t>
  </si>
  <si>
    <t>PP40.7%+402POLYESTERTHREAD36%+FE23.3%</t>
  </si>
  <si>
    <t>WASHBASIN B5015#32*11CM</t>
  </si>
  <si>
    <t>PP100%</t>
  </si>
  <si>
    <t>WASHBASIN 008# 32*11CM</t>
  </si>
  <si>
    <t>STORAGE BASKET 34.5*26.5*10CM #5066</t>
  </si>
  <si>
    <t>HAIR BAND 4PCS B-3611-23#</t>
  </si>
  <si>
    <t>POLYESTER 60%, SPANDEX 40%</t>
  </si>
  <si>
    <t>HAIR BAND 12PCS 5CM B-3611-24#</t>
  </si>
  <si>
    <t>COLOR RUBBER BAND 38*1.7MM</t>
  </si>
  <si>
    <t>SET</t>
  </si>
  <si>
    <t>RUBBER54%+WHITEOIL15%+COLORPOWDER10%+WHITECARBONBLACK8%+SULFUR7%+ZINCOXIDE2.5%+LIGHTCALCIUM2%+ACCELERANT1.5%</t>
  </si>
  <si>
    <t>SCOURING SPONGE 3S #TP-717</t>
  </si>
  <si>
    <t>POLYESTER 100%</t>
  </si>
  <si>
    <t xml:space="preserve">RUBBER BANDS 100G (YELLOW) </t>
  </si>
  <si>
    <t>RUBBER87%+WHITECARBONBLACK6%+WHITEOIL2%+CALCIUMCARBONATE1.5%+ZINCOXIDE1.5%+ACCELERANT1%+SULFUR1%</t>
  </si>
  <si>
    <t>SPONGE MESH F004-4S</t>
  </si>
  <si>
    <t>PU60%+PET32%+POLYESTER8%</t>
  </si>
  <si>
    <t>SCOURING BALL 1S #TP-712</t>
  </si>
  <si>
    <t>STAINLESS IRON 87% + CHROMIUM 13%</t>
  </si>
  <si>
    <t>COSMETIC POUCH 15*6*11CM #YN-1589</t>
  </si>
  <si>
    <t>OUTER: POLYESTER95%+PVC5%    INNER: POLYESTER100%</t>
  </si>
  <si>
    <t>SPONGE WH27659*16A-Q*16R-Q</t>
  </si>
  <si>
    <t>PP50%+POLYESTER50%</t>
  </si>
  <si>
    <t>SCOURING PAD WITH HANDLE #SD01-28-1</t>
  </si>
  <si>
    <t>POLYESTER 60% + PP 40%</t>
  </si>
  <si>
    <t>NOTEBOOK 12.8*9CM 2 PCS_FSGS022#</t>
  </si>
  <si>
    <t>PAPER 100%</t>
  </si>
  <si>
    <t>FLOOR MAT 150*180CM 150180#</t>
  </si>
  <si>
    <t>POLYESTER100%（Non tufted）</t>
  </si>
  <si>
    <t>DISPLAY CASE FRAME 20*20CM_9860#</t>
  </si>
  <si>
    <t>MDF75%(Populus40%+Eucalyptus20%+Pine15%)+Polystyrene20%+Paper5%</t>
  </si>
  <si>
    <t>CUSHION (SQUARE)1894#</t>
  </si>
  <si>
    <t>OUTER: 100% POLYESTER
INNER: 100% POLYESTER FIBER</t>
  </si>
  <si>
    <t>PHOTO FRAME 6" 14.7*19.7CM_PS06#</t>
  </si>
  <si>
    <t>PS80% + MDF(cunninghamia)10% + Acrylic10%</t>
  </si>
  <si>
    <t>PHOTO FRAME 7" 17.7*22.7CM_PS07#</t>
  </si>
  <si>
    <t>PHOTO FRAME 6" 10*15CM_M06#</t>
  </si>
  <si>
    <t>MDF(cunninghamia)90% + 10%Acrylic</t>
  </si>
  <si>
    <t>PHOTO FRAME 7" 13*18CM_M07#</t>
  </si>
  <si>
    <t>METAL PHOTO FRAME 6" 10.3*15.5CM_W06#</t>
  </si>
  <si>
    <t>Wrought iron90% + soda lime glass10%</t>
  </si>
  <si>
    <t>METAL PHOTO FRAME 3IN1 SET 13*18CM_R07#</t>
  </si>
  <si>
    <t>METAL CANDLE HOLDER (S) 8*8*16CM#</t>
  </si>
  <si>
    <t>100% Wrought iron</t>
  </si>
  <si>
    <t>DECO MARBLE PLATE 31*5*30CM#</t>
  </si>
  <si>
    <t>100%MDF(pine)</t>
  </si>
  <si>
    <t>2IN1 CEMENT CANDLE HOLDER 11*5.5*10.5CM#</t>
  </si>
  <si>
    <t>100%CEMENT</t>
  </si>
  <si>
    <t>CERAMIC VASE 11.3*11.3*10.4CM#</t>
  </si>
  <si>
    <t>CERAMIC 100%</t>
  </si>
  <si>
    <t>CERAMIC VASE 11*11*20.5CM#</t>
  </si>
  <si>
    <t>ROUND METAL SIDETABLE 35*35*46.5CM#</t>
  </si>
  <si>
    <t>100%Wrought iron</t>
  </si>
  <si>
    <t>COSMETIC BAG YN-1811# 16*8*19CM</t>
  </si>
  <si>
    <t>outer: PVC100% lining: POLYESTER100%</t>
  </si>
  <si>
    <t>COSMETIC BAG 727-50# 23.5*7.5*15.5CM</t>
  </si>
  <si>
    <t>outer: PVC80%+PU20% lining: POLYESTER 100%</t>
  </si>
  <si>
    <t>SCOURING BALL 2S #TP-713</t>
  </si>
  <si>
    <t>STAINLESS IRON(410) 87% + CHROMIUM 13%</t>
  </si>
  <si>
    <t>TRAVELLING BAG 2358-574#</t>
  </si>
  <si>
    <t>PVC95%+POLYESTER5%</t>
  </si>
  <si>
    <t>COSMETIC BAG 2485-335#</t>
  </si>
  <si>
    <t>NYLON95%+POLYESTER5%</t>
  </si>
  <si>
    <t>COSMETIC BAG 2609-903#</t>
  </si>
  <si>
    <t>COSMETIC BAG 2610-903#</t>
  </si>
  <si>
    <t>COSMETIC POUCH 21*12*13CM &amp;13*0.5*11CM</t>
  </si>
  <si>
    <t>BIG BAG: OUTER:NYLON100%   INNER: POLYESTER95%+PVC5%     SMALL BAG: POLYESTER100%</t>
  </si>
  <si>
    <t>COSMETIC BAG YX-1346-2W3167# 21*6*12.5CM</t>
  </si>
  <si>
    <t>POLYESTER100%</t>
  </si>
  <si>
    <t>COSMETIC BAG 727-41# 23*7*16.5CM</t>
  </si>
  <si>
    <t>outer: POLYESTER100% lining: POLYESTER100%</t>
  </si>
  <si>
    <t>COSMETICS BAG 860-504#</t>
  </si>
  <si>
    <t>NYLON100%，Lining：POLYESTER100%</t>
  </si>
  <si>
    <t>SCOURING PAD 3S #NS23001</t>
  </si>
  <si>
    <t>SCOURING PAD 10S #SD10-02</t>
  </si>
  <si>
    <t>WOODEN PEN HOLDER 10*9*7.3CM_MZ-365#</t>
  </si>
  <si>
    <t>Pine 100%</t>
  </si>
  <si>
    <t>HAIR TIE (PANDA) PD003#</t>
  </si>
  <si>
    <t>HAIR SCRUNCHIE (PANDA) PD004#</t>
  </si>
  <si>
    <t>SLEEPING EYE MASK (PLAIN)</t>
  </si>
  <si>
    <t>POLYESTER70%+POLYURETHANE30%</t>
  </si>
  <si>
    <t>LAUNDRY BASKET 40*50CM</t>
  </si>
  <si>
    <t>COTTON80%+POLYESTER20%</t>
  </si>
  <si>
    <t>STORAGE BASKET  35*40CM 3MP LARGE</t>
  </si>
  <si>
    <t>COTTON80%+POLYESTER20%  Lining：100%EVA</t>
  </si>
  <si>
    <t>LAUNDRY BASKET 40X50CM #LEAF 2MP</t>
  </si>
  <si>
    <t>CHENILLE GLOVE -C24630 31CM*22CM</t>
  </si>
  <si>
    <t>POLYESTER85%+POLYAMIDE15%</t>
  </si>
  <si>
    <t>CHENILLE GLOVE -C24635 22CM*29CM</t>
  </si>
  <si>
    <t>A5 NOTEBOOK LK7014#</t>
  </si>
  <si>
    <t>70%paper+20%PP+10%iron</t>
  </si>
  <si>
    <t>A5 NOTEBOOK LK5024#</t>
  </si>
  <si>
    <t>94%paper+STAINLESSSTEEL(202)6%</t>
  </si>
  <si>
    <t>NOTEBOOK SET LK5054#</t>
  </si>
  <si>
    <t>90%PAPER  + 8%ABS+2%POLYESTER</t>
  </si>
  <si>
    <t>A4 NOTEPAD LK5034#</t>
  </si>
  <si>
    <t>PAPER98%+IRON2%</t>
  </si>
  <si>
    <t>PIN SET_Flo-18#</t>
  </si>
  <si>
    <t>Zinc alloy100%</t>
  </si>
  <si>
    <t>908N</t>
  </si>
  <si>
    <t>NOTEBOOK A5_Flo-07#</t>
  </si>
  <si>
    <t>PAPER90%+Iron5%+PP5%</t>
  </si>
  <si>
    <t>GIFT BAG  34*34*12CM_23-5#</t>
  </si>
  <si>
    <t>90% White Card Paper + 10% Polyester</t>
  </si>
  <si>
    <t>GIFT BAG 18*23*10CM_GB24-1201#</t>
  </si>
  <si>
    <t>Paper98% + Polyester2%</t>
  </si>
  <si>
    <t>GIFT BAG 25.4*30.5*12.7CM_GB24-1203#</t>
  </si>
  <si>
    <t>GIFT BAG 18*23*10CM_GB24-1202#</t>
  </si>
  <si>
    <t>GIFT BAG 25.4*30.5*12.7CM_GB24-1204#</t>
  </si>
  <si>
    <t>GIFT BAG 37*29.5*12CM_GB24-1205#</t>
  </si>
  <si>
    <t>GIFT BAG  31*40*12CM_GB24-1206#</t>
  </si>
  <si>
    <t>SCOURING PAD 10S #SD10-48</t>
  </si>
  <si>
    <t>WHITEBOARD MARKER PEN  4PCS C-218#</t>
  </si>
  <si>
    <t>PP90%+PVC5%+PAPER5%</t>
  </si>
  <si>
    <t>WHITEBOARD MARKER PEN 8PCS 600-8#</t>
  </si>
  <si>
    <t>PP90%+PVC10%</t>
  </si>
  <si>
    <t>HIGHLIGHTER 4S 106#</t>
  </si>
  <si>
    <t>WHITEBOARD MARKER PEN SET_8006#</t>
  </si>
  <si>
    <t>PP80%+EVA10%+PVC5%+PAPER5%</t>
  </si>
  <si>
    <t>WHITE BOARD MARKER SET 8858</t>
  </si>
  <si>
    <t>PP80%+PVC5%+PAPER5%+sponge10%</t>
  </si>
  <si>
    <t>RUBBER BANDS 50TPR 100G 3MM</t>
  </si>
  <si>
    <t>SYNTHETICRUBBER60%+CALCIUMCARBONATE+COLORPOWDER40%</t>
  </si>
  <si>
    <t>MIRROR TRAY DECO 22.5*22.5CM_T1053#</t>
  </si>
  <si>
    <t>PP50%+Soda lime glass50%</t>
  </si>
  <si>
    <t>WALL SHELF PP BOARD 39.8*15 T4015#</t>
  </si>
  <si>
    <t>PS100%</t>
  </si>
  <si>
    <t>PHOTO FRAME KS059# 8*10INCH</t>
  </si>
  <si>
    <t>PP70%+POPULUS23%+PVC5%+CARBONSTEEL2%</t>
  </si>
  <si>
    <t>WOODEN CLIP SET_MZ-369#</t>
  </si>
  <si>
    <t>Pine 80% + Nickel 10% + Hemp rope 10%</t>
  </si>
  <si>
    <t>WOODEN CLIP SET_MZ-370#</t>
  </si>
  <si>
    <t>WOOD CLIP-36PCS</t>
  </si>
  <si>
    <t>POPULUS90%+NICKEL10%</t>
  </si>
  <si>
    <t>WHITE BOARD SET 25*35CM_HTY005#</t>
  </si>
  <si>
    <t>38% iron +30% aluminum+ 30% paper +2% plastic</t>
  </si>
  <si>
    <t>WHITE BOARD SET 30*40CM_HTY006#</t>
  </si>
  <si>
    <t>Zinc-coated iron 38% + Aluminum 30% + Paper 30% + Polyethylene 2%</t>
  </si>
  <si>
    <t>DAILY PLANNER WHITEBOARD 45*60CM*VS</t>
  </si>
  <si>
    <t>Cardboard 20%+ aluminum 8%+ iron 70%+ polyethylene 2%</t>
  </si>
  <si>
    <t>WHITE &amp; BLACK BOARD25*35CM_HTY-21E03#</t>
  </si>
  <si>
    <t>ZINC ALLOY 78% + PAPER 20% + POLYETHENE (PE) 2%</t>
  </si>
  <si>
    <t>WHITE BOARD 30*40CM_HTY-21E04#</t>
  </si>
  <si>
    <t>WHITE&amp;BLACK BOARD 35*50CM</t>
  </si>
  <si>
    <t>MP SCREEN MAGNIFIER BT-72#</t>
  </si>
  <si>
    <t>ROTATING JEWELLERY BOX BT-79#</t>
  </si>
  <si>
    <t>HIPS100%</t>
  </si>
  <si>
    <t>IVY GRIP TAPE BT-007#</t>
  </si>
  <si>
    <t>ROLL</t>
  </si>
  <si>
    <t>TPR70%+PE20%+PET10%</t>
  </si>
  <si>
    <t>TUMMY TRIMMER BT-050#</t>
  </si>
  <si>
    <t>STAINLESSSTEEL50%+PP50％</t>
  </si>
  <si>
    <t>COSMETIC BOX BT-034#</t>
  </si>
  <si>
    <t>WALL MOUNTED  TOILET BRUSH</t>
  </si>
  <si>
    <t>KITCHEN SOAP DISPENSER BT-76#</t>
  </si>
  <si>
    <t>RESISTANCE BANDS BT-84#</t>
  </si>
  <si>
    <t>TPR100%</t>
  </si>
  <si>
    <t>KITCHEN ADHESIVE TAPE BT101#3.8CM*2M</t>
  </si>
  <si>
    <t>ADHESIVETAPE100%</t>
  </si>
  <si>
    <t>OIL SPLASH GUARD BT-103#</t>
  </si>
  <si>
    <t>ALUMINUMFOIL100%</t>
  </si>
  <si>
    <t>OIL SPLASH GUARD BT-102#</t>
  </si>
  <si>
    <t>SPOON REST 201#</t>
  </si>
  <si>
    <t>ABS100%</t>
  </si>
  <si>
    <t>MULTIPURPOSE STORAGE BOX WITH COVER 216#</t>
  </si>
  <si>
    <t>DRAWER DIVIDER 211#</t>
  </si>
  <si>
    <t>IVY GRIP TAPE 6M 226#</t>
  </si>
  <si>
    <t>MULTIPURPOSE FOLDING BOX 217#</t>
  </si>
  <si>
    <t>95% PP, 5 % MAGNET</t>
  </si>
  <si>
    <t>HANDS FREE X-SHAPED MOP BT-268#</t>
  </si>
  <si>
    <t>PP40%+201STAINLESSSTEEL40%+ABS15%+POLYESTER5%</t>
  </si>
  <si>
    <t>FLAT MOP- WITH SPRAYER BT-251#</t>
  </si>
  <si>
    <t>PP65%+STAINLESSSTEELTUBE30%+POLYESTER5%</t>
  </si>
  <si>
    <t>STORAGE BOX 36*8.3*10.8CM #BT-404</t>
  </si>
  <si>
    <t>PET 70% + HIPS 30%</t>
  </si>
  <si>
    <t>NECK PILLOW #BT-402</t>
  </si>
  <si>
    <t>Expanded Polystyrene (EPS)70% + POLYESTER 24%+SPANDEX 6%</t>
  </si>
  <si>
    <t>CABLE ORGANIZER 3PCS #BT-399</t>
  </si>
  <si>
    <t>TPR 100%</t>
  </si>
  <si>
    <t>STORAGE BOX #BT-415</t>
  </si>
  <si>
    <t>TPR 65% + HIPS 8% + SILICON DIOXIDE 27%</t>
  </si>
  <si>
    <t>FOOT ROLLER #BT-417</t>
  </si>
  <si>
    <t>PP 90% + STAINLESS STEEL BEADS 10%</t>
  </si>
  <si>
    <t>MOP W/WATER SPRAYER</t>
  </si>
  <si>
    <t>AB40%+PP35%+201STAINLESSSTEELTUBE20%+POLTESTER5%</t>
  </si>
  <si>
    <t>INSOLES*VS</t>
  </si>
  <si>
    <t>PAIRS</t>
  </si>
  <si>
    <t>Sponge70%+EVA30%</t>
  </si>
  <si>
    <t>COSMETIC HOLDER 7686#</t>
  </si>
  <si>
    <t>PC100%</t>
  </si>
  <si>
    <t>FACIAL CLEANING BRUSH 4235#</t>
  </si>
  <si>
    <t>COSMETIC RACK 1708#</t>
  </si>
  <si>
    <t>MAGNETIC W.BOARD 25003-19U03#25.5*15.5CM</t>
  </si>
  <si>
    <t>EVA80%+MAGNETICMATERIAL20%</t>
  </si>
  <si>
    <t>RUBBER BANDS 30TPR 100G  3MM</t>
  </si>
  <si>
    <t>GLASS CANISTER SET 1300ML #50817-2</t>
  </si>
  <si>
    <t>SODA LIME GLASS97%+TIN3%</t>
  </si>
  <si>
    <t>906N</t>
  </si>
  <si>
    <t>RUBBER BAND 400*5MM</t>
  </si>
  <si>
    <t>ZINCOXIDE3.5%+ACCELERANT2.5%+SULFUR2%+RUBBER59%LIGHTCALCIUM15%+WHITEOIL10%+TITANIUMDIOXIDE+8%</t>
  </si>
  <si>
    <t>MEN BELT 3.7*120CM B-003#</t>
  </si>
  <si>
    <t>NYLON85% + PU15%</t>
  </si>
  <si>
    <t>ARTIFICIAL FLOWERS 7H HJYZ782404T11#*VS</t>
  </si>
  <si>
    <t>POLYESTE40%+PE30%+IRON30%</t>
  </si>
  <si>
    <t>ARTIFICIAL FLOWERS 7H DLH782405T13#</t>
  </si>
  <si>
    <t>POLYESTE40%+PE30%+IRONWIRE30%</t>
  </si>
  <si>
    <t>ARTIFICIAL CARNATION 9H 46CM_KNX#</t>
  </si>
  <si>
    <t>19CM SALAD PLATE  #HG1-FD100-S</t>
  </si>
  <si>
    <t>27CM DINNER PLATE  #HG1-FD100-D</t>
  </si>
  <si>
    <t>SCOURING PAD 3S #SD3-38</t>
  </si>
  <si>
    <t>SPIRAL PLANNER_FSGS019#</t>
  </si>
  <si>
    <t>EVA STICKER 20PCS_FSGS061#</t>
  </si>
  <si>
    <t>EVA 100%</t>
  </si>
  <si>
    <t>NETWORK PLIERS MULTIFUNCTIONAL SET 33225</t>
  </si>
  <si>
    <t>STEEL80%+PVC20%</t>
  </si>
  <si>
    <t>RATCHET HANDLE WRENCH 1/2" 33099</t>
  </si>
  <si>
    <t>PLIERS EYELET 150MM WILLOW NAILS 33135</t>
  </si>
  <si>
    <t>CARBON STEEL80% + 20%PVC</t>
  </si>
  <si>
    <t>BOLT CUTTER MINI 200MM 8" 33137</t>
  </si>
  <si>
    <t>Steel80%+PVC20%</t>
  </si>
  <si>
    <t>CUTTER SET 2S 9364655</t>
  </si>
  <si>
    <t>STEEL50% + PP50%</t>
  </si>
  <si>
    <t>WIRE BRUSH SET 7' 3S 9363510</t>
  </si>
  <si>
    <t>IRON70%+PP30%</t>
  </si>
  <si>
    <t>GLUE STICK 1.1*20CM 6PCS</t>
  </si>
  <si>
    <t>RESIN100%</t>
  </si>
  <si>
    <t>SUPER GLUE 8G 2708644</t>
  </si>
  <si>
    <t>ETHYL CYANOACRYLATE100%</t>
  </si>
  <si>
    <t>COMBINATION LOCK 30MM 9367777</t>
  </si>
  <si>
    <t>COPPER100%</t>
  </si>
  <si>
    <t>PADLOCK 40MM 9367721</t>
  </si>
  <si>
    <t>IRON100%</t>
  </si>
  <si>
    <t>COATED PADLOCK 33MM 9367706</t>
  </si>
  <si>
    <t>PP50%+COPPER30% + STEEL20%</t>
  </si>
  <si>
    <t>TAPE MEASURE 3M 2308905</t>
  </si>
  <si>
    <t>STAINLESS STEEL60% + PP40%</t>
  </si>
  <si>
    <t>ELECTRICIAN'S SCISSORS 140MM 9364303</t>
  </si>
  <si>
    <t>8203300000</t>
  </si>
  <si>
    <t>STEEL60% + PP40%</t>
  </si>
  <si>
    <t>WIRE PLIERS 6IN 9363601</t>
  </si>
  <si>
    <t>8203200000</t>
  </si>
  <si>
    <t>STEEL80% + PP20%</t>
  </si>
  <si>
    <t>ADJUSTABLE ROLLER WRENCH 6IN 9363576</t>
  </si>
  <si>
    <t>CARBON STEEL100%</t>
  </si>
  <si>
    <t>ADJUSTABLE ROLLLER WRENCH 10IN 9363578</t>
  </si>
  <si>
    <t>DIAMOND DISC 115MM</t>
  </si>
  <si>
    <t>MANGANESE STEEL100%</t>
  </si>
  <si>
    <t>SUPER GLUE 2G 4S 2708642</t>
  </si>
  <si>
    <t>WALL PLUG 6MM 100S 9368170</t>
  </si>
  <si>
    <t>PADLOCK 47MM 9367753</t>
  </si>
  <si>
    <t>PAINT BRUSH 3PCS 9369220</t>
  </si>
  <si>
    <t>WOOD50% + PP50%</t>
  </si>
  <si>
    <t>PAINT ROLLER 9IN PO EU  9369280</t>
  </si>
  <si>
    <t>9603409000</t>
  </si>
  <si>
    <t>PP40% + FLANNEL40%+ VELVET IRON20%</t>
  </si>
  <si>
    <t>TORX STAR ALLEN KEYS SET 9S 9363632</t>
  </si>
  <si>
    <t>AXE WITH WOODEN HANDLE 600G 9367665</t>
  </si>
  <si>
    <t>CARBON STEEL50% + WOOD50%</t>
  </si>
  <si>
    <t>ADJUSTABLE WRENCH 8IN 9363577</t>
  </si>
  <si>
    <t>DOUBLE OPEN END WRENCH SET 6S 9363766</t>
  </si>
  <si>
    <t>8204110000</t>
  </si>
  <si>
    <t>S/S FLEXI HOSE 1.5M</t>
  </si>
  <si>
    <t>3917390090</t>
  </si>
  <si>
    <t>STAINLESS STEEL50% + RUBBER50%</t>
  </si>
  <si>
    <t>S/S FLEXI HOSE 1.8M</t>
  </si>
  <si>
    <t>PAINT ROLLER 10IN PO EU  9369287</t>
  </si>
  <si>
    <t>CAULKING GUN 310MM 9364526</t>
  </si>
  <si>
    <t>CAULKING GUN 350MM 9364549</t>
  </si>
  <si>
    <t>IRON50% + PP50%</t>
  </si>
  <si>
    <t xml:space="preserve">BIRTHDAY HAT </t>
  </si>
  <si>
    <t>PAPER80%+PET20%</t>
  </si>
  <si>
    <t>BLIND BOX-CAPYBARA FY0554#</t>
  </si>
  <si>
    <t>Unsaturated Polyester Resin 100%</t>
  </si>
  <si>
    <t>BLIND BOX-GLOW TURTLE FY0862#</t>
  </si>
  <si>
    <t>BLIND BOX-GLOW TEAPOT DOLL FY0858#</t>
  </si>
  <si>
    <t>BLIND BOX-SHEEP FY0856#</t>
  </si>
  <si>
    <t>BLIND BOX-CHEESE DOLL FY0872#</t>
  </si>
  <si>
    <t>BLIND BOX-RABBIT LIZ DOLL FY0557#</t>
  </si>
  <si>
    <t>BLIND BOX-KIKI DOLL FY0721#</t>
  </si>
  <si>
    <t>BLIND BOX-GLOW FRUIT DOLL FY0867#</t>
  </si>
  <si>
    <t>PARTY B'DAY CROWN</t>
  </si>
  <si>
    <t>901N</t>
  </si>
  <si>
    <t>RC GLOSSY PHOTO PAPER A4 260G_JR-3001-3#</t>
  </si>
  <si>
    <t>BIRCH PULP 80% + WATER 20%</t>
  </si>
  <si>
    <t>G.STICKY PHOTO PAPER A4 135G_JS-3007-1#</t>
  </si>
  <si>
    <t>BATTERY SENSOR LIGHT BMSL2202</t>
  </si>
  <si>
    <t>ABS 80% stainless steel 10% PCB 5% LED 5%</t>
  </si>
  <si>
    <t>WRAPPING PAPER 1PC_53*75CM F1_201102#</t>
  </si>
  <si>
    <t>WRAPPING PAPER 1PC_53*75CM F1_201103#</t>
  </si>
  <si>
    <t>WRAPPING PAPER 2IN1_70*100CM F1_201104#</t>
  </si>
  <si>
    <t>WRAPPING PAPER 2IN1_70*100CM F1_201106#</t>
  </si>
  <si>
    <t>WRAPPING PAPER 2IN1_70*100CM F1_201107#</t>
  </si>
  <si>
    <t>WRAPPING PAPER 5IN1 51*75CM</t>
  </si>
  <si>
    <t>WRAPPING PAPER 53*75CM_WP-1#</t>
  </si>
  <si>
    <t>WRAPPING PAPER 53*75CM_WP-2#</t>
  </si>
  <si>
    <t>WRAPPING PAPER 2PCS 70*100CM_WP-3#</t>
  </si>
  <si>
    <t>WRAPPING PAPER 2PCS 70*100CM_WP-4#</t>
  </si>
  <si>
    <t>WRAPPING PAPER 2PCS 70*100CM_WP-5#</t>
  </si>
  <si>
    <t>WRAPPING PAPER 2PCS 70*100CM_WP-6#</t>
  </si>
  <si>
    <t>WRAPPING PAPER 2PCS 70*100CM_WP-8#</t>
  </si>
  <si>
    <t>WRAPPING PAPER 53*75CM</t>
  </si>
  <si>
    <t>100% Glitter flim coated paper</t>
  </si>
  <si>
    <t>TOTAL:</t>
  </si>
  <si>
    <t>TOTAL:1179CTNS/11696.32KGS/64.76CBM</t>
  </si>
  <si>
    <t>CONTAINER NO.:CSGU6171906</t>
  </si>
  <si>
    <t>SEAL NO:31680222</t>
  </si>
  <si>
    <t>BL NO:COSU9505628150</t>
  </si>
  <si>
    <t>The goods covered by this invoice have NOT been manufactured in Russia. The goods covered by this invoice have NOT been manufactured with products manufactured in RUSSIA nor have any components been imported from RUSSIA. All merchandise has no connection with RUSSIA.</t>
  </si>
  <si>
    <t>INVOICE</t>
  </si>
  <si>
    <t>INVOICE NO.:</t>
  </si>
  <si>
    <t>PAYMENT DATE:</t>
  </si>
  <si>
    <t>PAYMENT TIME: WITHIN 14 DAYS OF LOADING</t>
  </si>
  <si>
    <t>EXW B1 BULDING, SIHAI ROAD, PULUOSI LOGISTICS PARK, YIWU, CHINA</t>
  </si>
  <si>
    <t xml:space="preserve">QTTY/CTN </t>
  </si>
  <si>
    <t xml:space="preserve">TOTAL QTTY </t>
  </si>
  <si>
    <t>UNIT PRICE (USD)</t>
  </si>
  <si>
    <t>TOTAL GOODS AMT (USD)</t>
  </si>
  <si>
    <t>SAY US DOLLARS THIRTY-NINE THOUSAND SIX HUNDRED AND EIGHTY-TWO AND CENTS SEVENTEEN ONLY</t>
  </si>
  <si>
    <t>1. The SALES MANAGER CHENG XIANG of Linyi Hongshun Porcelain Co.,Ltd.
2.I, the undersigned, certify that the 1319.6kg of the tableware and kitchenware sold to the trader YIWU CHANXI IMPORT AND EXPORT CO., LTD., covered by this invoice, was manufactured by our company Linyi Hongshun Porcelain Co.,Ltd.address is Xishan Village,Luozhuang District,Linyi City,Shandong Province,China.Additional code is 899C in the People's Republic of China.I declare that the information provided in this invoice is complete and correct. 
(3) Date, signature and stamp.</t>
  </si>
  <si>
    <t>BANK INFORMATION:</t>
  </si>
  <si>
    <r>
      <rPr>
        <sz val="11"/>
        <rFont val="Times New Roman"/>
        <charset val="134"/>
      </rPr>
      <t>BENEFICIARY  BANK:
BENEFICIARY NAME</t>
    </r>
    <r>
      <rPr>
        <sz val="11"/>
        <rFont val="宋体"/>
        <charset val="134"/>
      </rPr>
      <t>：</t>
    </r>
    <r>
      <rPr>
        <sz val="11"/>
        <rFont val="Times New Roman"/>
        <charset val="134"/>
      </rPr>
      <t>YIWU CHANXI IMPORT AND EXPORT CO., LTD.
BENEFICIARY ADDRESS</t>
    </r>
    <r>
      <rPr>
        <sz val="11"/>
        <rFont val="宋体"/>
        <charset val="134"/>
      </rPr>
      <t>：</t>
    </r>
    <r>
      <rPr>
        <sz val="11"/>
        <rFont val="Times New Roman"/>
        <charset val="134"/>
      </rPr>
      <t>ROOM 202, BUILDING 1, NO. 4, WEST STATION, WESTERN VILLAGE, CHENGXI SUB-DISTRICT, YIWU CITY JINHUA, ZHEJIANG PROVINCE
BANK NAME</t>
    </r>
    <r>
      <rPr>
        <sz val="11"/>
        <rFont val="宋体"/>
        <charset val="134"/>
      </rPr>
      <t>：</t>
    </r>
    <r>
      <rPr>
        <sz val="11"/>
        <rFont val="Times New Roman"/>
        <charset val="134"/>
      </rPr>
      <t>ZHEJIANG TAILONG COMMERCIAL BANK CO.,LTD
BANK ADDRESS</t>
    </r>
    <r>
      <rPr>
        <sz val="11"/>
        <rFont val="宋体"/>
        <charset val="134"/>
      </rPr>
      <t>：</t>
    </r>
    <r>
      <rPr>
        <sz val="11"/>
        <rFont val="Times New Roman"/>
        <charset val="134"/>
      </rPr>
      <t>NO.188 NANGUAN ROAD TAIZHOU ZHEJIANG CHINA
ACCOUNT NO</t>
    </r>
    <r>
      <rPr>
        <sz val="11"/>
        <rFont val="宋体"/>
        <charset val="134"/>
      </rPr>
      <t>：</t>
    </r>
    <r>
      <rPr>
        <sz val="11"/>
        <rFont val="Times New Roman"/>
        <charset val="134"/>
      </rPr>
      <t>33080300201000005177
SWIFT BIC: ZJTLCNBHXXX</t>
    </r>
  </si>
</sst>
</file>

<file path=xl/styles.xml><?xml version="1.0" encoding="utf-8"?>
<styleSheet xmlns="http://schemas.openxmlformats.org/spreadsheetml/2006/main" xmlns:mc="http://schemas.openxmlformats.org/markup-compatibility/2006" xmlns:xr9="http://schemas.microsoft.com/office/spreadsheetml/2016/revision9" mc:Ignorable="xr9">
  <numFmts count="1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_(* #,##0.00_);_(* \(#,##0.00\);_(* &quot;-&quot;??_);_(@_)"/>
    <numFmt numFmtId="177" formatCode="0.000_);[Red]\(0.000\)"/>
    <numFmt numFmtId="178" formatCode="0.00_ "/>
    <numFmt numFmtId="179" formatCode="[$-409]d\-mmm\-yyyy;@"/>
    <numFmt numFmtId="180" formatCode="#,##0.0000_);[Red]\(#,##0.0000\)"/>
    <numFmt numFmtId="181" formatCode="#,##0.00_);[Red]\(#,##0.00\)"/>
    <numFmt numFmtId="182" formatCode="[$-409]dd\-mmm\-yy;@"/>
    <numFmt numFmtId="183" formatCode="yyyy/m/d;@"/>
    <numFmt numFmtId="184" formatCode="[$-409]mmmm\ d\,\ yyyy;@"/>
    <numFmt numFmtId="185" formatCode="[DBNum1][$-804]yyyy&quot;年&quot;m&quot;月&quot;d&quot;日&quot;;@"/>
    <numFmt numFmtId="186" formatCode="_-[$EUR]\ * #,##0.00_-;\-[$EUR]\ * #,##0.00_-;_-[$EUR]\ * &quot;-&quot;??_-;_-@_-"/>
  </numFmts>
  <fonts count="49">
    <font>
      <sz val="11"/>
      <color theme="1"/>
      <name val="宋体"/>
      <charset val="134"/>
      <scheme val="minor"/>
    </font>
    <font>
      <sz val="11"/>
      <color theme="1"/>
      <name val="Times New Roman"/>
      <charset val="134"/>
    </font>
    <font>
      <sz val="10"/>
      <color theme="1"/>
      <name val="Times New Roman"/>
      <charset val="134"/>
    </font>
    <font>
      <sz val="11"/>
      <color theme="1"/>
      <name val="等线"/>
      <charset val="134"/>
    </font>
    <font>
      <b/>
      <sz val="16"/>
      <color theme="1"/>
      <name val="Times New Roman"/>
      <charset val="134"/>
    </font>
    <font>
      <b/>
      <sz val="8"/>
      <color theme="1"/>
      <name val="Times New Roman"/>
      <charset val="134"/>
    </font>
    <font>
      <b/>
      <u/>
      <sz val="24"/>
      <color theme="1"/>
      <name val="Times New Roman"/>
      <charset val="134"/>
    </font>
    <font>
      <b/>
      <sz val="10"/>
      <color theme="1"/>
      <name val="Times New Roman"/>
      <charset val="134"/>
    </font>
    <font>
      <b/>
      <sz val="11"/>
      <color theme="1"/>
      <name val="Times New Roman"/>
      <charset val="134"/>
    </font>
    <font>
      <sz val="12"/>
      <color theme="1"/>
      <name val="Times New Roman"/>
      <charset val="134"/>
    </font>
    <font>
      <sz val="11"/>
      <name val="Times New Roman"/>
      <charset val="134"/>
    </font>
    <font>
      <sz val="11"/>
      <color rgb="FFFF0000"/>
      <name val="Times New Roman"/>
      <charset val="134"/>
    </font>
    <font>
      <sz val="12"/>
      <color rgb="FFFF0000"/>
      <name val="Times New Roman"/>
      <charset val="134"/>
    </font>
    <font>
      <sz val="9"/>
      <color theme="1"/>
      <name val="Times New Roman"/>
      <charset val="134"/>
    </font>
    <font>
      <sz val="9"/>
      <name val="Times New Roman"/>
      <charset val="134"/>
    </font>
    <font>
      <b/>
      <sz val="10"/>
      <name val="Arial"/>
      <charset val="134"/>
    </font>
    <font>
      <sz val="10"/>
      <name val="Times New Roman"/>
      <charset val="134"/>
    </font>
    <font>
      <u/>
      <sz val="22"/>
      <color theme="1"/>
      <name val="Times New Roman"/>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宋体"/>
      <charset val="134"/>
    </font>
    <font>
      <sz val="12"/>
      <name val="宋体"/>
      <charset val="134"/>
    </font>
    <font>
      <sz val="9"/>
      <color theme="1"/>
      <name val="宋体"/>
      <charset val="134"/>
    </font>
    <font>
      <sz val="9"/>
      <color indexed="8"/>
      <name val="宋体"/>
      <charset val="134"/>
    </font>
    <font>
      <sz val="11"/>
      <color theme="1"/>
      <name val="宋体"/>
      <charset val="134"/>
    </font>
    <font>
      <sz val="10"/>
      <color indexed="8"/>
      <name val="Arial"/>
      <charset val="134"/>
    </font>
    <font>
      <sz val="11"/>
      <color indexed="8"/>
      <name val="宋体"/>
      <charset val="134"/>
      <scheme val="minor"/>
    </font>
    <font>
      <sz val="11"/>
      <color theme="1"/>
      <name val="Tahoma"/>
      <charset val="134"/>
    </font>
    <font>
      <sz val="12"/>
      <color theme="1"/>
      <name val="宋体"/>
      <charset val="134"/>
      <scheme val="minor"/>
    </font>
    <font>
      <sz val="10"/>
      <name val="Arial"/>
      <charset val="134"/>
    </font>
    <font>
      <sz val="12"/>
      <color indexed="8"/>
      <name val="宋体"/>
      <charset val="134"/>
    </font>
    <font>
      <sz val="11"/>
      <name val="宋体"/>
      <charset val="134"/>
    </font>
  </fonts>
  <fills count="36">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74">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0" fillId="5" borderId="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5" applyNumberFormat="0" applyFill="0" applyAlignment="0" applyProtection="0">
      <alignment vertical="center"/>
    </xf>
    <xf numFmtId="0" fontId="24" fillId="0" borderId="5" applyNumberFormat="0" applyFill="0" applyAlignment="0" applyProtection="0">
      <alignment vertical="center"/>
    </xf>
    <xf numFmtId="0" fontId="25" fillId="0" borderId="6" applyNumberFormat="0" applyFill="0" applyAlignment="0" applyProtection="0">
      <alignment vertical="center"/>
    </xf>
    <xf numFmtId="0" fontId="25" fillId="0" borderId="0" applyNumberFormat="0" applyFill="0" applyBorder="0" applyAlignment="0" applyProtection="0">
      <alignment vertical="center"/>
    </xf>
    <xf numFmtId="0" fontId="26" fillId="6" borderId="7" applyNumberFormat="0" applyAlignment="0" applyProtection="0">
      <alignment vertical="center"/>
    </xf>
    <xf numFmtId="0" fontId="27" fillId="7" borderId="8" applyNumberFormat="0" applyAlignment="0" applyProtection="0">
      <alignment vertical="center"/>
    </xf>
    <xf numFmtId="0" fontId="28" fillId="7" borderId="7" applyNumberFormat="0" applyAlignment="0" applyProtection="0">
      <alignment vertical="center"/>
    </xf>
    <xf numFmtId="0" fontId="29" fillId="8" borderId="9" applyNumberFormat="0" applyAlignment="0" applyProtection="0">
      <alignment vertical="center"/>
    </xf>
    <xf numFmtId="0" fontId="30" fillId="0" borderId="10" applyNumberFormat="0" applyFill="0" applyAlignment="0" applyProtection="0">
      <alignment vertical="center"/>
    </xf>
    <xf numFmtId="0" fontId="31" fillId="0" borderId="11" applyNumberFormat="0" applyFill="0" applyAlignment="0" applyProtection="0">
      <alignment vertical="center"/>
    </xf>
    <xf numFmtId="0" fontId="32" fillId="9" borderId="0" applyNumberFormat="0" applyBorder="0" applyAlignment="0" applyProtection="0">
      <alignment vertical="center"/>
    </xf>
    <xf numFmtId="0" fontId="33" fillId="10" borderId="0" applyNumberFormat="0" applyBorder="0" applyAlignment="0" applyProtection="0">
      <alignment vertical="center"/>
    </xf>
    <xf numFmtId="0" fontId="34" fillId="11" borderId="0" applyNumberFormat="0" applyBorder="0" applyAlignment="0" applyProtection="0">
      <alignment vertical="center"/>
    </xf>
    <xf numFmtId="0" fontId="35" fillId="12" borderId="0" applyNumberFormat="0" applyBorder="0" applyAlignment="0" applyProtection="0">
      <alignment vertical="center"/>
    </xf>
    <xf numFmtId="0" fontId="36" fillId="13" borderId="0" applyNumberFormat="0" applyBorder="0" applyAlignment="0" applyProtection="0">
      <alignment vertical="center"/>
    </xf>
    <xf numFmtId="0" fontId="36" fillId="14" borderId="0" applyNumberFormat="0" applyBorder="0" applyAlignment="0" applyProtection="0">
      <alignment vertical="center"/>
    </xf>
    <xf numFmtId="0" fontId="35" fillId="15" borderId="0" applyNumberFormat="0" applyBorder="0" applyAlignment="0" applyProtection="0">
      <alignment vertical="center"/>
    </xf>
    <xf numFmtId="0" fontId="35" fillId="16" borderId="0" applyNumberFormat="0" applyBorder="0" applyAlignment="0" applyProtection="0">
      <alignment vertical="center"/>
    </xf>
    <xf numFmtId="0" fontId="36" fillId="17" borderId="0" applyNumberFormat="0" applyBorder="0" applyAlignment="0" applyProtection="0">
      <alignment vertical="center"/>
    </xf>
    <xf numFmtId="0" fontId="36" fillId="18" borderId="0" applyNumberFormat="0" applyBorder="0" applyAlignment="0" applyProtection="0">
      <alignment vertical="center"/>
    </xf>
    <xf numFmtId="0" fontId="35" fillId="19" borderId="0" applyNumberFormat="0" applyBorder="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36" fillId="22" borderId="0" applyNumberFormat="0" applyBorder="0" applyAlignment="0" applyProtection="0">
      <alignment vertical="center"/>
    </xf>
    <xf numFmtId="0" fontId="35"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6" fillId="26" borderId="0" applyNumberFormat="0" applyBorder="0" applyAlignment="0" applyProtection="0">
      <alignment vertical="center"/>
    </xf>
    <xf numFmtId="0" fontId="35" fillId="27" borderId="0" applyNumberFormat="0" applyBorder="0" applyAlignment="0" applyProtection="0">
      <alignment vertical="center"/>
    </xf>
    <xf numFmtId="0" fontId="35" fillId="28" borderId="0" applyNumberFormat="0" applyBorder="0" applyAlignment="0" applyProtection="0">
      <alignment vertical="center"/>
    </xf>
    <xf numFmtId="0" fontId="36" fillId="29" borderId="0" applyNumberFormat="0" applyBorder="0" applyAlignment="0" applyProtection="0">
      <alignment vertical="center"/>
    </xf>
    <xf numFmtId="0" fontId="36" fillId="30" borderId="0" applyNumberFormat="0" applyBorder="0" applyAlignment="0" applyProtection="0">
      <alignment vertical="center"/>
    </xf>
    <xf numFmtId="0" fontId="35" fillId="31" borderId="0" applyNumberFormat="0" applyBorder="0" applyAlignment="0" applyProtection="0">
      <alignment vertical="center"/>
    </xf>
    <xf numFmtId="0" fontId="35" fillId="32" borderId="0" applyNumberFormat="0" applyBorder="0" applyAlignment="0" applyProtection="0">
      <alignment vertical="center"/>
    </xf>
    <xf numFmtId="0" fontId="36" fillId="33" borderId="0" applyNumberFormat="0" applyBorder="0" applyAlignment="0" applyProtection="0">
      <alignment vertical="center"/>
    </xf>
    <xf numFmtId="0" fontId="36" fillId="34" borderId="0" applyNumberFormat="0" applyBorder="0" applyAlignment="0" applyProtection="0">
      <alignment vertical="center"/>
    </xf>
    <xf numFmtId="0" fontId="35" fillId="35" borderId="0" applyNumberFormat="0" applyBorder="0" applyAlignment="0" applyProtection="0">
      <alignment vertical="center"/>
    </xf>
    <xf numFmtId="176" fontId="0" fillId="0" borderId="0" applyFont="0" applyFill="0" applyBorder="0" applyAlignment="0" applyProtection="0"/>
    <xf numFmtId="176" fontId="37" fillId="0" borderId="0" applyFont="0" applyFill="0" applyBorder="0" applyAlignment="0" applyProtection="0"/>
    <xf numFmtId="43" fontId="38" fillId="0" borderId="0" applyFont="0" applyFill="0" applyBorder="0" applyAlignment="0" applyProtection="0">
      <alignment vertical="center"/>
    </xf>
    <xf numFmtId="176" fontId="39" fillId="0" borderId="0" applyFont="0" applyFill="0" applyBorder="0" applyAlignment="0" applyProtection="0"/>
    <xf numFmtId="176" fontId="40" fillId="0" borderId="0" applyFont="0" applyFill="0" applyBorder="0" applyAlignment="0" applyProtection="0"/>
    <xf numFmtId="0" fontId="39" fillId="0" borderId="0">
      <alignment vertical="center"/>
    </xf>
    <xf numFmtId="0" fontId="38" fillId="0" borderId="0"/>
    <xf numFmtId="0" fontId="41" fillId="0" borderId="0">
      <alignment vertical="center"/>
    </xf>
    <xf numFmtId="0" fontId="0" fillId="0" borderId="0"/>
    <xf numFmtId="0" fontId="42" fillId="0" borderId="0" applyNumberFormat="0" applyFill="0" applyBorder="0" applyAlignment="0" applyProtection="0"/>
    <xf numFmtId="9" fontId="39" fillId="0" borderId="0" applyFont="0" applyFill="0" applyBorder="0" applyAlignment="0" applyProtection="0"/>
    <xf numFmtId="9" fontId="40" fillId="0" borderId="0" applyFont="0" applyFill="0" applyBorder="0" applyAlignment="0" applyProtection="0"/>
    <xf numFmtId="43" fontId="37" fillId="0" borderId="0" applyFont="0" applyFill="0" applyBorder="0" applyAlignment="0" applyProtection="0">
      <alignment vertical="center"/>
    </xf>
    <xf numFmtId="177" fontId="43" fillId="0" borderId="0" applyFont="0" applyFill="0" applyBorder="0" applyAlignment="0" applyProtection="0">
      <alignment vertical="center"/>
    </xf>
    <xf numFmtId="43" fontId="39" fillId="0" borderId="0" applyFont="0" applyFill="0" applyBorder="0" applyAlignment="0" applyProtection="0">
      <alignment vertical="center"/>
    </xf>
    <xf numFmtId="0" fontId="44" fillId="0" borderId="0"/>
    <xf numFmtId="0" fontId="45" fillId="0" borderId="0"/>
    <xf numFmtId="0" fontId="44" fillId="0" borderId="0">
      <alignment vertical="center"/>
    </xf>
    <xf numFmtId="0" fontId="38" fillId="0" borderId="0">
      <alignment vertical="center"/>
    </xf>
    <xf numFmtId="0" fontId="46" fillId="0" borderId="0"/>
    <xf numFmtId="9" fontId="0" fillId="0" borderId="0" applyFont="0" applyFill="0" applyBorder="0" applyAlignment="0" applyProtection="0"/>
    <xf numFmtId="9" fontId="37" fillId="0" borderId="0" applyFont="0" applyFill="0" applyBorder="0" applyAlignment="0" applyProtection="0">
      <alignment vertical="center"/>
    </xf>
    <xf numFmtId="9" fontId="47" fillId="0" borderId="0" applyFont="0" applyFill="0" applyBorder="0" applyAlignment="0" applyProtection="0"/>
    <xf numFmtId="9" fontId="45" fillId="0" borderId="0" applyFont="0" applyFill="0" applyBorder="0" applyAlignment="0" applyProtection="0"/>
    <xf numFmtId="9" fontId="37" fillId="0" borderId="0" applyFont="0" applyFill="0" applyBorder="0" applyAlignment="0" applyProtection="0"/>
  </cellStyleXfs>
  <cellXfs count="93">
    <xf numFmtId="0" fontId="0" fillId="0" borderId="0" xfId="0">
      <alignment vertical="center"/>
    </xf>
    <xf numFmtId="0" fontId="1" fillId="2" borderId="0" xfId="0" applyFont="1" applyFill="1" applyAlignment="1">
      <alignment horizontal="center" vertical="center"/>
    </xf>
    <xf numFmtId="0" fontId="2" fillId="2" borderId="0" xfId="0" applyFont="1" applyFill="1" applyAlignment="1">
      <alignment horizontal="center" vertical="center"/>
    </xf>
    <xf numFmtId="0" fontId="2" fillId="0" borderId="0" xfId="0" applyFont="1" applyFill="1" applyAlignment="1">
      <alignment horizontal="center" vertical="center"/>
    </xf>
    <xf numFmtId="0" fontId="2" fillId="3" borderId="0" xfId="0" applyFont="1" applyFill="1" applyAlignment="1">
      <alignment horizontal="center" vertical="center"/>
    </xf>
    <xf numFmtId="0" fontId="3" fillId="2" borderId="0" xfId="54" applyFont="1" applyFill="1" applyAlignment="1">
      <alignment vertical="center"/>
    </xf>
    <xf numFmtId="0" fontId="0" fillId="2" borderId="0" xfId="0" applyFont="1" applyFill="1">
      <alignment vertical="center"/>
    </xf>
    <xf numFmtId="0" fontId="1" fillId="2" borderId="0" xfId="0" applyFont="1" applyFill="1">
      <alignment vertical="center"/>
    </xf>
    <xf numFmtId="0" fontId="1" fillId="2" borderId="0" xfId="0" applyFont="1" applyFill="1" applyAlignment="1">
      <alignment horizontal="left" vertical="center"/>
    </xf>
    <xf numFmtId="178" fontId="1" fillId="2" borderId="0" xfId="0" applyNumberFormat="1" applyFont="1" applyFill="1">
      <alignment vertical="center"/>
    </xf>
    <xf numFmtId="0" fontId="4" fillId="2" borderId="0" xfId="0" applyFont="1" applyFill="1" applyAlignment="1">
      <alignment horizontal="center" vertical="center"/>
    </xf>
    <xf numFmtId="0" fontId="4" fillId="2" borderId="0" xfId="0" applyFont="1" applyFill="1">
      <alignment vertical="center"/>
    </xf>
    <xf numFmtId="0" fontId="5" fillId="2" borderId="0" xfId="0" applyFont="1" applyFill="1" applyAlignment="1">
      <alignment horizontal="center" vertical="center" wrapText="1"/>
    </xf>
    <xf numFmtId="0" fontId="5" fillId="2" borderId="0" xfId="0" applyFont="1" applyFill="1" applyAlignment="1">
      <alignment vertical="center" wrapText="1"/>
    </xf>
    <xf numFmtId="0" fontId="6" fillId="2" borderId="0" xfId="0" applyFont="1" applyFill="1" applyAlignment="1">
      <alignment horizontal="center" vertical="center"/>
    </xf>
    <xf numFmtId="0" fontId="7" fillId="2" borderId="0" xfId="0" applyFont="1" applyFill="1" applyAlignment="1">
      <alignment horizontal="center" vertical="center"/>
    </xf>
    <xf numFmtId="178" fontId="7" fillId="2" borderId="0" xfId="0" applyNumberFormat="1" applyFont="1" applyFill="1" applyAlignment="1">
      <alignment horizontal="center" vertical="center"/>
    </xf>
    <xf numFmtId="0" fontId="8" fillId="2" borderId="0" xfId="0" applyFont="1" applyFill="1" applyAlignment="1">
      <alignment horizontal="left" vertical="center" wrapText="1"/>
    </xf>
    <xf numFmtId="0" fontId="9" fillId="2" borderId="0" xfId="0" applyFont="1" applyFill="1">
      <alignment vertical="center"/>
    </xf>
    <xf numFmtId="178" fontId="1" fillId="2" borderId="0" xfId="0" applyNumberFormat="1" applyFont="1" applyFill="1" applyAlignment="1">
      <alignment horizontal="center" vertical="center"/>
    </xf>
    <xf numFmtId="0" fontId="10" fillId="2" borderId="0" xfId="0" applyFont="1" applyFill="1" applyAlignment="1">
      <alignment horizontal="left" vertical="center" wrapText="1"/>
    </xf>
    <xf numFmtId="179" fontId="9" fillId="2" borderId="0" xfId="0" applyNumberFormat="1" applyFont="1" applyFill="1" applyAlignment="1">
      <alignment horizontal="left" vertical="center"/>
    </xf>
    <xf numFmtId="0" fontId="11" fillId="2" borderId="0" xfId="0" applyFont="1" applyFill="1" applyAlignment="1">
      <alignment horizontal="right" vertical="center"/>
    </xf>
    <xf numFmtId="179" fontId="12" fillId="2" borderId="0" xfId="0" applyNumberFormat="1" applyFont="1" applyFill="1" applyAlignment="1">
      <alignment horizontal="left" vertical="center"/>
    </xf>
    <xf numFmtId="0" fontId="11" fillId="2" borderId="0" xfId="0" applyFont="1" applyFill="1">
      <alignment vertical="center"/>
    </xf>
    <xf numFmtId="0" fontId="1" fillId="2" borderId="0" xfId="0" applyFont="1" applyFill="1" applyAlignment="1">
      <alignment horizontal="left" vertical="center" wrapText="1"/>
    </xf>
    <xf numFmtId="0" fontId="9" fillId="2" borderId="1" xfId="0" applyFont="1" applyFill="1" applyBorder="1" applyAlignment="1">
      <alignment horizontal="left" vertical="center"/>
    </xf>
    <xf numFmtId="0" fontId="9" fillId="2" borderId="0" xfId="0" applyFont="1" applyFill="1" applyAlignment="1">
      <alignment horizontal="left" vertical="center"/>
    </xf>
    <xf numFmtId="0" fontId="2" fillId="2" borderId="2" xfId="0" applyFont="1" applyFill="1" applyBorder="1" applyAlignment="1">
      <alignment horizontal="center" vertical="center"/>
    </xf>
    <xf numFmtId="0" fontId="2" fillId="2" borderId="2" xfId="68" applyFont="1" applyFill="1" applyBorder="1" applyAlignment="1">
      <alignment horizontal="center" vertical="center"/>
    </xf>
    <xf numFmtId="0" fontId="2" fillId="2" borderId="2" xfId="68" applyFont="1" applyFill="1" applyBorder="1" applyAlignment="1">
      <alignment horizontal="center" vertical="center" wrapText="1"/>
    </xf>
    <xf numFmtId="178" fontId="2" fillId="2" borderId="2" xfId="68" applyNumberFormat="1" applyFont="1" applyFill="1" applyBorder="1" applyAlignment="1">
      <alignment horizontal="center" vertical="center" wrapText="1"/>
    </xf>
    <xf numFmtId="0" fontId="2" fillId="0" borderId="2" xfId="0" applyFont="1" applyBorder="1" applyAlignment="1">
      <alignment horizontal="center" vertical="center" wrapText="1"/>
    </xf>
    <xf numFmtId="178" fontId="2" fillId="0" borderId="2" xfId="0" applyNumberFormat="1" applyFont="1" applyBorder="1" applyAlignment="1">
      <alignment horizontal="center" vertical="center" wrapText="1"/>
    </xf>
    <xf numFmtId="0" fontId="13" fillId="0" borderId="2" xfId="0" applyFont="1" applyFill="1" applyBorder="1" applyAlignment="1">
      <alignment horizontal="center" vertical="center"/>
    </xf>
    <xf numFmtId="0" fontId="14" fillId="0" borderId="2" xfId="0" applyFont="1" applyFill="1" applyBorder="1" applyAlignment="1">
      <alignment horizontal="center" vertical="center"/>
    </xf>
    <xf numFmtId="180" fontId="13" fillId="0" borderId="2" xfId="0" applyNumberFormat="1" applyFont="1" applyFill="1" applyBorder="1" applyAlignment="1">
      <alignment horizontal="center" vertical="center"/>
    </xf>
    <xf numFmtId="181" fontId="13" fillId="0" borderId="2" xfId="0" applyNumberFormat="1" applyFont="1" applyFill="1" applyBorder="1" applyAlignment="1">
      <alignment horizontal="center" vertical="center"/>
    </xf>
    <xf numFmtId="0" fontId="2" fillId="0" borderId="2" xfId="0" applyFont="1" applyFill="1" applyBorder="1" applyAlignment="1">
      <alignment horizontal="center" vertical="center"/>
    </xf>
    <xf numFmtId="0" fontId="13" fillId="0" borderId="2" xfId="0" applyFont="1" applyFill="1" applyBorder="1" applyAlignment="1">
      <alignment horizontal="center" vertical="center" wrapText="1"/>
    </xf>
    <xf numFmtId="0" fontId="13" fillId="3" borderId="2" xfId="0" applyFont="1" applyFill="1" applyBorder="1" applyAlignment="1">
      <alignment horizontal="center" vertical="center"/>
    </xf>
    <xf numFmtId="0" fontId="14" fillId="3" borderId="2" xfId="0" applyFont="1" applyFill="1" applyBorder="1" applyAlignment="1">
      <alignment horizontal="center" vertical="center"/>
    </xf>
    <xf numFmtId="180" fontId="13" fillId="3" borderId="2" xfId="0" applyNumberFormat="1" applyFont="1" applyFill="1" applyBorder="1" applyAlignment="1">
      <alignment horizontal="center" vertical="center"/>
    </xf>
    <xf numFmtId="181" fontId="13"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13" fillId="3" borderId="2" xfId="0" applyFont="1" applyFill="1" applyBorder="1" applyAlignment="1">
      <alignment horizontal="center" vertical="center" wrapText="1"/>
    </xf>
    <xf numFmtId="0" fontId="2" fillId="2" borderId="2" xfId="0" applyFont="1" applyFill="1" applyBorder="1" applyAlignment="1">
      <alignment horizontal="left" vertical="center"/>
    </xf>
    <xf numFmtId="181" fontId="2" fillId="2" borderId="2" xfId="0" applyNumberFormat="1" applyFont="1" applyFill="1" applyBorder="1" applyAlignment="1">
      <alignment horizontal="center" vertical="center"/>
    </xf>
    <xf numFmtId="0" fontId="2" fillId="2" borderId="0" xfId="0" applyFont="1" applyFill="1" applyAlignment="1">
      <alignment horizontal="left" vertical="center"/>
    </xf>
    <xf numFmtId="178" fontId="2" fillId="2" borderId="0" xfId="0" applyNumberFormat="1" applyFont="1" applyFill="1" applyAlignment="1">
      <alignment horizontal="center" vertical="center"/>
    </xf>
    <xf numFmtId="0" fontId="7" fillId="2" borderId="0" xfId="0" applyFont="1" applyFill="1" applyAlignment="1">
      <alignment horizontal="left" vertical="center"/>
    </xf>
    <xf numFmtId="0" fontId="15" fillId="0" borderId="0" xfId="0" applyFont="1" applyFill="1" applyAlignment="1">
      <alignment horizontal="left" vertical="top" wrapText="1"/>
    </xf>
    <xf numFmtId="178" fontId="3" fillId="2" borderId="0" xfId="54" applyNumberFormat="1" applyFont="1" applyFill="1" applyAlignment="1">
      <alignment horizontal="center" vertical="center"/>
    </xf>
    <xf numFmtId="0" fontId="16" fillId="2" borderId="0" xfId="0" applyFont="1" applyFill="1" applyAlignment="1">
      <alignment horizontal="left" vertical="center"/>
    </xf>
    <xf numFmtId="0" fontId="10" fillId="2" borderId="0" xfId="0" applyFont="1" applyFill="1" applyAlignment="1">
      <alignment horizontal="left" vertical="center"/>
    </xf>
    <xf numFmtId="0" fontId="2" fillId="2" borderId="0" xfId="0" applyFont="1" applyFill="1" applyAlignment="1">
      <alignment horizontal="center" vertical="center" wrapText="1"/>
    </xf>
    <xf numFmtId="0" fontId="13" fillId="0" borderId="0" xfId="0" applyFont="1" applyFill="1" applyAlignment="1">
      <alignment horizontal="center" vertical="center"/>
    </xf>
    <xf numFmtId="0" fontId="13" fillId="0" borderId="0" xfId="0" applyFont="1" applyFill="1" applyAlignment="1">
      <alignment horizontal="center" vertical="center"/>
    </xf>
    <xf numFmtId="0" fontId="13" fillId="0" borderId="0" xfId="0" applyFont="1" applyFill="1" applyAlignment="1">
      <alignment horizontal="center" vertical="center"/>
    </xf>
    <xf numFmtId="0" fontId="13" fillId="3" borderId="0" xfId="0" applyFont="1" applyFill="1" applyAlignment="1">
      <alignment horizontal="center" vertical="center"/>
    </xf>
    <xf numFmtId="0" fontId="17" fillId="2" borderId="0" xfId="0" applyFont="1" applyFill="1" applyAlignment="1">
      <alignment horizontal="center" vertical="center"/>
    </xf>
    <xf numFmtId="182" fontId="9" fillId="2" borderId="0" xfId="0" applyNumberFormat="1" applyFont="1" applyFill="1" applyAlignment="1">
      <alignment horizontal="center" vertical="center"/>
    </xf>
    <xf numFmtId="183" fontId="1" fillId="2" borderId="0" xfId="0" applyNumberFormat="1" applyFont="1" applyFill="1" applyAlignment="1">
      <alignment horizontal="left" vertical="center"/>
    </xf>
    <xf numFmtId="0" fontId="10" fillId="2" borderId="0" xfId="0" applyFont="1" applyFill="1" applyAlignment="1">
      <alignment vertical="top" wrapText="1"/>
    </xf>
    <xf numFmtId="0" fontId="10" fillId="2" borderId="0" xfId="0" applyFont="1" applyFill="1" applyAlignment="1">
      <alignment vertical="top"/>
    </xf>
    <xf numFmtId="184" fontId="9" fillId="2" borderId="0" xfId="0" applyNumberFormat="1" applyFont="1" applyFill="1" applyAlignment="1">
      <alignment horizontal="left" vertical="center"/>
    </xf>
    <xf numFmtId="178" fontId="9" fillId="2" borderId="0" xfId="0" applyNumberFormat="1" applyFont="1" applyFill="1" applyAlignment="1">
      <alignment horizontal="center" vertical="center"/>
    </xf>
    <xf numFmtId="185" fontId="9" fillId="2" borderId="0" xfId="0" applyNumberFormat="1" applyFont="1" applyFill="1">
      <alignment vertical="center"/>
    </xf>
    <xf numFmtId="0" fontId="1" fillId="2" borderId="0" xfId="0" applyFont="1" applyFill="1" applyAlignment="1">
      <alignment horizontal="left" vertical="top"/>
    </xf>
    <xf numFmtId="0" fontId="9" fillId="2" borderId="0" xfId="0" applyFont="1" applyFill="1" applyAlignment="1">
      <alignment horizontal="center" vertical="center"/>
    </xf>
    <xf numFmtId="178" fontId="9" fillId="2" borderId="0" xfId="0" applyNumberFormat="1" applyFont="1" applyFill="1" applyAlignment="1">
      <alignment horizontal="left" vertical="center"/>
    </xf>
    <xf numFmtId="0" fontId="2" fillId="2" borderId="2" xfId="0" applyFont="1" applyFill="1" applyBorder="1" applyAlignment="1">
      <alignment horizontal="center" vertical="center" wrapText="1"/>
    </xf>
    <xf numFmtId="178" fontId="2" fillId="2" borderId="2" xfId="0" applyNumberFormat="1" applyFont="1" applyFill="1" applyBorder="1" applyAlignment="1">
      <alignment horizontal="center" vertical="center" wrapText="1"/>
    </xf>
    <xf numFmtId="0" fontId="2" fillId="4" borderId="2" xfId="0" applyFont="1" applyFill="1" applyBorder="1" applyAlignment="1">
      <alignment horizontal="center" vertical="center" wrapText="1"/>
    </xf>
    <xf numFmtId="0" fontId="14" fillId="0" borderId="2" xfId="0" applyFont="1" applyFill="1" applyBorder="1" applyAlignment="1">
      <alignment horizontal="center" vertical="center" wrapText="1"/>
    </xf>
    <xf numFmtId="178" fontId="13" fillId="0" borderId="2" xfId="0" applyNumberFormat="1" applyFont="1" applyFill="1" applyBorder="1" applyAlignment="1">
      <alignment horizontal="center" vertical="center"/>
    </xf>
    <xf numFmtId="0" fontId="14" fillId="0" borderId="2" xfId="0" applyFont="1" applyFill="1" applyBorder="1" applyAlignment="1">
      <alignment horizontal="center" vertical="center" wrapText="1"/>
    </xf>
    <xf numFmtId="0" fontId="13" fillId="0" borderId="2" xfId="0" applyFont="1" applyFill="1" applyBorder="1" applyAlignment="1">
      <alignment horizontal="center" vertical="center" wrapText="1"/>
    </xf>
    <xf numFmtId="178" fontId="13"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14" fillId="0" borderId="2" xfId="0" applyFont="1" applyFill="1" applyBorder="1" applyAlignment="1">
      <alignment horizontal="center" vertical="center" wrapText="1"/>
    </xf>
    <xf numFmtId="0" fontId="13" fillId="0" borderId="2" xfId="0" applyFont="1" applyFill="1" applyBorder="1" applyAlignment="1">
      <alignment horizontal="center" vertical="center" wrapText="1"/>
    </xf>
    <xf numFmtId="178" fontId="13"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14" fillId="3" borderId="2" xfId="0" applyFont="1" applyFill="1" applyBorder="1" applyAlignment="1">
      <alignment horizontal="center" vertical="center" wrapText="1"/>
    </xf>
    <xf numFmtId="178" fontId="13" fillId="3" borderId="2" xfId="0" applyNumberFormat="1" applyFont="1" applyFill="1" applyBorder="1" applyAlignment="1">
      <alignment horizontal="center" vertical="center"/>
    </xf>
    <xf numFmtId="0" fontId="14" fillId="2" borderId="2" xfId="0" applyFont="1" applyFill="1" applyBorder="1" applyAlignment="1">
      <alignment horizontal="center" vertical="center" wrapText="1"/>
    </xf>
    <xf numFmtId="0" fontId="2" fillId="2" borderId="2" xfId="0" applyFont="1" applyFill="1" applyBorder="1" applyAlignment="1">
      <alignment horizontal="right" vertical="center"/>
    </xf>
    <xf numFmtId="178" fontId="2" fillId="2" borderId="2" xfId="0" applyNumberFormat="1" applyFont="1" applyFill="1" applyBorder="1" applyAlignment="1">
      <alignment horizontal="center" vertical="center"/>
    </xf>
    <xf numFmtId="0" fontId="2" fillId="2" borderId="3" xfId="0" applyFont="1" applyFill="1" applyBorder="1">
      <alignment vertical="center"/>
    </xf>
    <xf numFmtId="186" fontId="8" fillId="4" borderId="0" xfId="0" applyNumberFormat="1" applyFont="1" applyFill="1">
      <alignment vertical="center"/>
    </xf>
    <xf numFmtId="0" fontId="2" fillId="2" borderId="0" xfId="0" applyFont="1" applyFill="1">
      <alignment vertical="center"/>
    </xf>
    <xf numFmtId="0" fontId="13" fillId="2" borderId="0" xfId="0" applyFont="1" applyFill="1" applyAlignment="1">
      <alignment horizontal="center" vertical="center"/>
    </xf>
  </cellXfs>
  <cellStyles count="7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Comma 2" xfId="49"/>
    <cellStyle name="Comma 2 2 2" xfId="50"/>
    <cellStyle name="Comma 2 6" xfId="51"/>
    <cellStyle name="Comma 3" xfId="52"/>
    <cellStyle name="Comma 3 2 2" xfId="53"/>
    <cellStyle name="Normal 2" xfId="54"/>
    <cellStyle name="Normal 2 5" xfId="55"/>
    <cellStyle name="Normal 3" xfId="56"/>
    <cellStyle name="Normal 3 2 2 4" xfId="57"/>
    <cellStyle name="Normal 4" xfId="58"/>
    <cellStyle name="Percent 2" xfId="59"/>
    <cellStyle name="Percent 2 2 2" xfId="60"/>
    <cellStyle name="千位分隔 2" xfId="61"/>
    <cellStyle name="千位分隔 2 2 2 7" xfId="62"/>
    <cellStyle name="千位分隔 5" xfId="63"/>
    <cellStyle name="常规 10" xfId="64"/>
    <cellStyle name="常规 14 5" xfId="65"/>
    <cellStyle name="常规 2 2" xfId="66"/>
    <cellStyle name="常规 2 2 2 2 2" xfId="67"/>
    <cellStyle name="样式 1" xfId="68"/>
    <cellStyle name="百分比 11" xfId="69"/>
    <cellStyle name="百分比 2 2 2" xfId="70"/>
    <cellStyle name="百分比 3" xfId="71"/>
    <cellStyle name="百分比 3 5" xfId="72"/>
    <cellStyle name="百分比 8" xfId="73"/>
  </cellStyles>
  <tableStyles count="0" defaultTableStyle="TableStyleMedium2" defaultPivotStyle="PivotStyleLight16"/>
  <colors>
    <mruColors>
      <color rgb="00000000"/>
      <color rgb="00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openxmlformats.org/officeDocument/2006/relationships/styles" Target="styles.xml"/><Relationship Id="rId4" Type="http://schemas.openxmlformats.org/officeDocument/2006/relationships/sharedStrings" Target="sharedString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7</xdr:col>
      <xdr:colOff>546735</xdr:colOff>
      <xdr:row>225</xdr:row>
      <xdr:rowOff>95250</xdr:rowOff>
    </xdr:from>
    <xdr:to>
      <xdr:col>11</xdr:col>
      <xdr:colOff>407035</xdr:colOff>
      <xdr:row>230</xdr:row>
      <xdr:rowOff>53975</xdr:rowOff>
    </xdr:to>
    <xdr:pic>
      <xdr:nvPicPr>
        <xdr:cNvPr id="2" name="图片 1"/>
        <xdr:cNvPicPr>
          <a:picLocks noChangeAspect="1"/>
        </xdr:cNvPicPr>
      </xdr:nvPicPr>
      <xdr:blipFill>
        <a:blip r:embed="rId1"/>
        <a:stretch>
          <a:fillRect/>
        </a:stretch>
      </xdr:blipFill>
      <xdr:spPr>
        <a:xfrm>
          <a:off x="7708900" y="41182925"/>
          <a:ext cx="2839720" cy="844550"/>
        </a:xfrm>
        <a:prstGeom prst="rect">
          <a:avLst/>
        </a:prstGeom>
        <a:noFill/>
        <a:ln w="9525">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4</xdr:col>
      <xdr:colOff>448310</xdr:colOff>
      <xdr:row>240</xdr:row>
      <xdr:rowOff>733425</xdr:rowOff>
    </xdr:from>
    <xdr:to>
      <xdr:col>7</xdr:col>
      <xdr:colOff>621665</xdr:colOff>
      <xdr:row>240</xdr:row>
      <xdr:rowOff>1577975</xdr:rowOff>
    </xdr:to>
    <xdr:pic>
      <xdr:nvPicPr>
        <xdr:cNvPr id="2" name="图片 1"/>
        <xdr:cNvPicPr>
          <a:picLocks noChangeAspect="1"/>
        </xdr:cNvPicPr>
      </xdr:nvPicPr>
      <xdr:blipFill>
        <a:blip r:embed="rId1"/>
        <a:stretch>
          <a:fillRect/>
        </a:stretch>
      </xdr:blipFill>
      <xdr:spPr>
        <a:xfrm>
          <a:off x="5553710" y="44775755"/>
          <a:ext cx="2839720" cy="844550"/>
        </a:xfrm>
        <a:prstGeom prst="rect">
          <a:avLst/>
        </a:prstGeom>
        <a:noFill/>
        <a:ln w="9525">
          <a:noFill/>
        </a:ln>
      </xdr:spPr>
    </xdr:pic>
    <xdr:clientData/>
  </xdr:twoCellAnchor>
  <xdr:twoCellAnchor editAs="oneCell">
    <xdr:from>
      <xdr:col>5</xdr:col>
      <xdr:colOff>753110</xdr:colOff>
      <xdr:row>232</xdr:row>
      <xdr:rowOff>57150</xdr:rowOff>
    </xdr:from>
    <xdr:to>
      <xdr:col>8</xdr:col>
      <xdr:colOff>122555</xdr:colOff>
      <xdr:row>240</xdr:row>
      <xdr:rowOff>467995</xdr:rowOff>
    </xdr:to>
    <xdr:pic>
      <xdr:nvPicPr>
        <xdr:cNvPr id="3" name="图片 2"/>
        <xdr:cNvPicPr>
          <a:picLocks noChangeAspect="1"/>
        </xdr:cNvPicPr>
      </xdr:nvPicPr>
      <xdr:blipFill>
        <a:blip r:embed="rId2"/>
        <a:stretch>
          <a:fillRect/>
        </a:stretch>
      </xdr:blipFill>
      <xdr:spPr>
        <a:xfrm>
          <a:off x="6620510" y="42519600"/>
          <a:ext cx="1905000" cy="1990725"/>
        </a:xfrm>
        <a:prstGeom prst="rect">
          <a:avLst/>
        </a:prstGeom>
        <a:noFill/>
        <a:ln w="9525">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8" tint="0.399853511154515"/>
  </sheetPr>
  <dimension ref="A1:O240"/>
  <sheetViews>
    <sheetView tabSelected="1" view="pageBreakPreview" zoomScaleNormal="100" topLeftCell="A54" workbookViewId="0">
      <selection activeCell="A68" sqref="$A68:$XFD71"/>
    </sheetView>
  </sheetViews>
  <sheetFormatPr defaultColWidth="8.71666666666667" defaultRowHeight="15"/>
  <cols>
    <col min="1" max="1" width="3.71666666666667" style="7" customWidth="1"/>
    <col min="2" max="2" width="9.71666666666667" style="7" customWidth="1"/>
    <col min="3" max="3" width="41.575" style="8" customWidth="1"/>
    <col min="4" max="4" width="9.425" style="7" customWidth="1"/>
    <col min="5" max="5" width="12.425" style="7" customWidth="1"/>
    <col min="6" max="6" width="9.28333333333333" style="7" customWidth="1"/>
    <col min="7" max="7" width="7.85" style="7" customWidth="1"/>
    <col min="8" max="8" width="8.71666666666667" style="19" customWidth="1"/>
    <col min="9" max="9" width="9.71666666666667" style="7" customWidth="1"/>
    <col min="10" max="10" width="10.6666666666667" style="7"/>
    <col min="11" max="11" width="10" style="7"/>
    <col min="12" max="14" width="8.71666666666667" style="7"/>
    <col min="15" max="15" width="11.85" style="7" customWidth="1"/>
    <col min="16" max="16384" width="8.71666666666667" style="7"/>
  </cols>
  <sheetData>
    <row r="1" ht="25.5" customHeight="1" spans="1:15">
      <c r="A1" s="10" t="s">
        <v>0</v>
      </c>
      <c r="B1" s="10"/>
      <c r="C1" s="10"/>
      <c r="D1" s="10"/>
      <c r="E1" s="10"/>
      <c r="F1" s="10"/>
      <c r="G1" s="10"/>
      <c r="H1" s="10"/>
      <c r="I1" s="10"/>
      <c r="J1" s="10"/>
      <c r="K1" s="10"/>
      <c r="L1" s="10"/>
    </row>
    <row r="2" ht="30" customHeight="1" spans="1:15">
      <c r="A2" s="12" t="s">
        <v>1</v>
      </c>
      <c r="B2" s="12"/>
      <c r="C2" s="12"/>
      <c r="D2" s="12"/>
      <c r="E2" s="12"/>
      <c r="F2" s="12"/>
      <c r="G2" s="12"/>
      <c r="H2" s="12"/>
      <c r="I2" s="12"/>
      <c r="J2" s="12"/>
      <c r="K2" s="12"/>
      <c r="L2" s="12"/>
    </row>
    <row r="3" ht="30.75" customHeight="1" spans="1:15">
      <c r="A3" s="60" t="s">
        <v>2</v>
      </c>
      <c r="B3" s="60"/>
      <c r="C3" s="60"/>
      <c r="D3" s="60"/>
      <c r="E3" s="60"/>
      <c r="F3" s="60"/>
      <c r="G3" s="60"/>
      <c r="H3" s="60"/>
      <c r="I3" s="60"/>
      <c r="J3" s="60"/>
      <c r="K3" s="60"/>
      <c r="L3" s="60"/>
    </row>
    <row r="4" ht="19.15" customHeight="1" spans="1:15">
      <c r="A4" s="2"/>
      <c r="B4" s="2"/>
      <c r="C4" s="2"/>
      <c r="D4" s="2"/>
      <c r="E4" s="2"/>
      <c r="F4" s="2"/>
      <c r="G4" s="8" t="s">
        <v>3</v>
      </c>
      <c r="H4" s="49"/>
      <c r="I4" s="8" t="s">
        <v>4</v>
      </c>
    </row>
    <row r="5" ht="19.15" customHeight="1" spans="1:15">
      <c r="A5" s="17" t="s">
        <v>5</v>
      </c>
      <c r="B5" s="17"/>
      <c r="C5" s="17"/>
      <c r="F5" s="18"/>
      <c r="G5" s="8" t="s">
        <v>6</v>
      </c>
      <c r="H5" s="61"/>
      <c r="I5" s="62">
        <v>46056</v>
      </c>
    </row>
    <row r="6" ht="15.75" spans="1:15">
      <c r="A6" s="63" t="s">
        <v>7</v>
      </c>
      <c r="B6" s="64"/>
      <c r="C6" s="64"/>
      <c r="D6" s="64"/>
      <c r="F6" s="21"/>
      <c r="G6" s="65"/>
      <c r="H6" s="66"/>
    </row>
    <row r="7" ht="15.75" spans="1:15">
      <c r="A7" s="64"/>
      <c r="B7" s="64"/>
      <c r="C7" s="64"/>
      <c r="D7" s="64"/>
      <c r="E7" s="1"/>
      <c r="F7" s="18"/>
      <c r="G7" s="18"/>
      <c r="H7" s="66"/>
    </row>
    <row r="8" ht="15.75" spans="1:15">
      <c r="A8" s="64"/>
      <c r="B8" s="64"/>
      <c r="C8" s="64"/>
      <c r="D8" s="64"/>
      <c r="E8" s="1"/>
      <c r="F8" s="67"/>
      <c r="G8" s="67"/>
      <c r="H8" s="66"/>
    </row>
    <row r="9" ht="28" customHeight="1" spans="1:15">
      <c r="A9" s="64"/>
      <c r="B9" s="64"/>
      <c r="C9" s="64"/>
      <c r="D9" s="64"/>
      <c r="E9" s="1"/>
      <c r="F9" s="18"/>
      <c r="G9" s="18"/>
      <c r="H9" s="66"/>
    </row>
    <row r="10" ht="3" customHeight="1" spans="1:15">
      <c r="A10" s="64"/>
      <c r="B10" s="64"/>
      <c r="C10" s="64"/>
      <c r="D10" s="64"/>
      <c r="E10" s="1"/>
      <c r="F10" s="18"/>
      <c r="G10" s="18"/>
      <c r="H10" s="66"/>
    </row>
    <row r="11" ht="15.75" spans="1:15">
      <c r="A11" s="68"/>
      <c r="B11" s="68"/>
      <c r="C11" s="68"/>
      <c r="D11" s="68"/>
      <c r="E11" s="1"/>
      <c r="F11" s="18"/>
      <c r="G11" s="18"/>
      <c r="H11" s="66"/>
    </row>
    <row r="12" s="1" customFormat="1" ht="12" customHeight="1" spans="1:15">
      <c r="A12" s="69"/>
      <c r="B12" s="69"/>
      <c r="C12" s="69"/>
      <c r="D12" s="7"/>
      <c r="E12" s="7"/>
      <c r="F12" s="27"/>
      <c r="G12" s="27"/>
      <c r="H12" s="70"/>
    </row>
    <row r="13" s="1" customFormat="1" ht="12" customHeight="1" spans="1:15">
      <c r="A13" s="27" t="s">
        <v>8</v>
      </c>
      <c r="B13" s="27"/>
      <c r="C13" s="27"/>
      <c r="D13" s="7"/>
      <c r="E13" s="7"/>
      <c r="F13" s="27" t="s">
        <v>9</v>
      </c>
      <c r="G13" s="27"/>
      <c r="H13" s="70"/>
    </row>
    <row r="14" s="55" customFormat="1" ht="60.95" customHeight="1" spans="1:15">
      <c r="A14" s="30" t="s">
        <v>10</v>
      </c>
      <c r="B14" s="30" t="s">
        <v>11</v>
      </c>
      <c r="C14" s="71" t="s">
        <v>12</v>
      </c>
      <c r="D14" s="30" t="s">
        <v>13</v>
      </c>
      <c r="E14" s="30" t="s">
        <v>14</v>
      </c>
      <c r="F14" s="30" t="s">
        <v>15</v>
      </c>
      <c r="G14" s="30" t="s">
        <v>16</v>
      </c>
      <c r="H14" s="72" t="s">
        <v>17</v>
      </c>
      <c r="I14" s="32" t="s">
        <v>18</v>
      </c>
      <c r="J14" s="33" t="s">
        <v>19</v>
      </c>
      <c r="K14" s="33" t="s">
        <v>20</v>
      </c>
      <c r="L14" s="71" t="s">
        <v>21</v>
      </c>
      <c r="M14" s="30" t="s">
        <v>22</v>
      </c>
      <c r="N14" s="73" t="s">
        <v>23</v>
      </c>
      <c r="O14" s="73" t="s">
        <v>24</v>
      </c>
    </row>
    <row r="15" s="56" customFormat="1" ht="13.9" customHeight="1" spans="1:15">
      <c r="A15" s="74">
        <f>ROW()-14</f>
        <v>1</v>
      </c>
      <c r="B15" s="39">
        <v>9049006</v>
      </c>
      <c r="C15" s="39" t="s">
        <v>25</v>
      </c>
      <c r="D15" s="39">
        <v>3</v>
      </c>
      <c r="E15" s="39">
        <v>360</v>
      </c>
      <c r="F15" s="39">
        <v>1080</v>
      </c>
      <c r="G15" s="39" t="s">
        <v>26</v>
      </c>
      <c r="H15" s="75">
        <v>75</v>
      </c>
      <c r="I15" s="75">
        <f>H15*0.97</f>
        <v>72.75</v>
      </c>
      <c r="J15" s="75">
        <v>0.24192</v>
      </c>
      <c r="K15" s="39">
        <v>4819400000</v>
      </c>
      <c r="L15" s="39" t="s">
        <v>27</v>
      </c>
      <c r="M15" s="34" t="s">
        <v>28</v>
      </c>
      <c r="N15" s="75">
        <v>5.558</v>
      </c>
      <c r="O15" s="75">
        <f>N15*F15</f>
        <v>6002.64</v>
      </c>
    </row>
    <row r="16" s="56" customFormat="1" ht="13.9" customHeight="1" spans="1:15">
      <c r="A16" s="74">
        <f t="shared" ref="A16:A25" si="0">ROW()-14</f>
        <v>2</v>
      </c>
      <c r="B16" s="39">
        <v>9049007</v>
      </c>
      <c r="C16" s="39" t="s">
        <v>29</v>
      </c>
      <c r="D16" s="39">
        <v>1</v>
      </c>
      <c r="E16" s="39">
        <v>240</v>
      </c>
      <c r="F16" s="39">
        <v>240</v>
      </c>
      <c r="G16" s="39" t="s">
        <v>26</v>
      </c>
      <c r="H16" s="75">
        <v>22</v>
      </c>
      <c r="I16" s="75">
        <f t="shared" ref="I16:I79" si="1">H16*0.97</f>
        <v>21.34</v>
      </c>
      <c r="J16" s="75">
        <v>0.07106</v>
      </c>
      <c r="K16" s="39">
        <v>4819400000</v>
      </c>
      <c r="L16" s="39" t="s">
        <v>27</v>
      </c>
      <c r="M16" s="34" t="s">
        <v>28</v>
      </c>
      <c r="N16" s="75">
        <v>5.558</v>
      </c>
      <c r="O16" s="75">
        <f t="shared" ref="O16:O79" si="2">N16*F16</f>
        <v>1333.92</v>
      </c>
    </row>
    <row r="17" s="56" customFormat="1" ht="13.9" customHeight="1" spans="1:15">
      <c r="A17" s="74">
        <f t="shared" si="0"/>
        <v>3</v>
      </c>
      <c r="B17" s="39">
        <v>9046201</v>
      </c>
      <c r="C17" s="39" t="s">
        <v>30</v>
      </c>
      <c r="D17" s="39">
        <v>1</v>
      </c>
      <c r="E17" s="39">
        <v>240</v>
      </c>
      <c r="F17" s="39">
        <v>240</v>
      </c>
      <c r="G17" s="39" t="s">
        <v>26</v>
      </c>
      <c r="H17" s="75">
        <v>21.5</v>
      </c>
      <c r="I17" s="75">
        <f t="shared" si="1"/>
        <v>20.855</v>
      </c>
      <c r="J17" s="75">
        <v>0.077</v>
      </c>
      <c r="K17" s="39">
        <v>4819400000</v>
      </c>
      <c r="L17" s="39" t="s">
        <v>31</v>
      </c>
      <c r="M17" s="34">
        <v>904</v>
      </c>
      <c r="N17" s="75">
        <v>0.51</v>
      </c>
      <c r="O17" s="75">
        <f t="shared" si="2"/>
        <v>122.4</v>
      </c>
    </row>
    <row r="18" s="56" customFormat="1" ht="13.9" customHeight="1" spans="1:15">
      <c r="A18" s="74">
        <f t="shared" si="0"/>
        <v>4</v>
      </c>
      <c r="B18" s="39">
        <v>9046203</v>
      </c>
      <c r="C18" s="39" t="s">
        <v>32</v>
      </c>
      <c r="D18" s="39">
        <v>1</v>
      </c>
      <c r="E18" s="39">
        <v>240</v>
      </c>
      <c r="F18" s="39">
        <v>240</v>
      </c>
      <c r="G18" s="39" t="s">
        <v>26</v>
      </c>
      <c r="H18" s="75">
        <v>20.6</v>
      </c>
      <c r="I18" s="75">
        <f t="shared" si="1"/>
        <v>19.982</v>
      </c>
      <c r="J18" s="75">
        <v>0.077</v>
      </c>
      <c r="K18" s="39">
        <v>4819400000</v>
      </c>
      <c r="L18" s="39" t="s">
        <v>31</v>
      </c>
      <c r="M18" s="34">
        <v>904</v>
      </c>
      <c r="N18" s="75">
        <v>0.4</v>
      </c>
      <c r="O18" s="75">
        <f t="shared" si="2"/>
        <v>96</v>
      </c>
    </row>
    <row r="19" s="56" customFormat="1" ht="13.9" customHeight="1" spans="1:15">
      <c r="A19" s="74">
        <f t="shared" si="0"/>
        <v>5</v>
      </c>
      <c r="B19" s="39">
        <v>9046512</v>
      </c>
      <c r="C19" s="39" t="s">
        <v>33</v>
      </c>
      <c r="D19" s="39">
        <v>5</v>
      </c>
      <c r="E19" s="39">
        <v>144</v>
      </c>
      <c r="F19" s="39">
        <v>720</v>
      </c>
      <c r="G19" s="39" t="s">
        <v>26</v>
      </c>
      <c r="H19" s="75">
        <v>105</v>
      </c>
      <c r="I19" s="75">
        <f t="shared" si="1"/>
        <v>101.85</v>
      </c>
      <c r="J19" s="75">
        <v>0.34357</v>
      </c>
      <c r="K19" s="39">
        <v>4819400000</v>
      </c>
      <c r="L19" s="39" t="s">
        <v>31</v>
      </c>
      <c r="M19" s="34">
        <v>904</v>
      </c>
      <c r="N19" s="75">
        <v>0.74</v>
      </c>
      <c r="O19" s="75">
        <f t="shared" si="2"/>
        <v>532.8</v>
      </c>
    </row>
    <row r="20" s="56" customFormat="1" ht="13.9" customHeight="1" spans="1:15">
      <c r="A20" s="74">
        <f t="shared" si="0"/>
        <v>6</v>
      </c>
      <c r="B20" s="39">
        <v>9086598</v>
      </c>
      <c r="C20" s="39" t="s">
        <v>34</v>
      </c>
      <c r="D20" s="39">
        <v>1</v>
      </c>
      <c r="E20" s="39">
        <v>360</v>
      </c>
      <c r="F20" s="39">
        <v>360</v>
      </c>
      <c r="G20" s="39" t="s">
        <v>26</v>
      </c>
      <c r="H20" s="75">
        <v>18.6</v>
      </c>
      <c r="I20" s="75">
        <f t="shared" si="1"/>
        <v>18.042</v>
      </c>
      <c r="J20" s="75">
        <v>0.0702</v>
      </c>
      <c r="K20" s="39">
        <v>4819400000</v>
      </c>
      <c r="L20" s="39" t="s">
        <v>31</v>
      </c>
      <c r="M20" s="34">
        <v>904</v>
      </c>
      <c r="N20" s="75">
        <v>0.275</v>
      </c>
      <c r="O20" s="75">
        <f t="shared" si="2"/>
        <v>99</v>
      </c>
    </row>
    <row r="21" s="56" customFormat="1" ht="13.9" customHeight="1" spans="1:15">
      <c r="A21" s="74">
        <f t="shared" si="0"/>
        <v>7</v>
      </c>
      <c r="B21" s="39">
        <v>9086600</v>
      </c>
      <c r="C21" s="39" t="s">
        <v>35</v>
      </c>
      <c r="D21" s="39">
        <v>3</v>
      </c>
      <c r="E21" s="39">
        <v>240</v>
      </c>
      <c r="F21" s="39">
        <v>720</v>
      </c>
      <c r="G21" s="39" t="s">
        <v>26</v>
      </c>
      <c r="H21" s="75">
        <v>61.2</v>
      </c>
      <c r="I21" s="75">
        <f t="shared" si="1"/>
        <v>59.364</v>
      </c>
      <c r="J21" s="75">
        <v>0.231</v>
      </c>
      <c r="K21" s="39">
        <v>4819400000</v>
      </c>
      <c r="L21" s="39" t="s">
        <v>31</v>
      </c>
      <c r="M21" s="34">
        <v>904</v>
      </c>
      <c r="N21" s="75">
        <v>0.45</v>
      </c>
      <c r="O21" s="75">
        <f t="shared" si="2"/>
        <v>324</v>
      </c>
    </row>
    <row r="22" s="56" customFormat="1" ht="13.9" customHeight="1" spans="1:15">
      <c r="A22" s="74">
        <f t="shared" si="0"/>
        <v>8</v>
      </c>
      <c r="B22" s="39">
        <v>9005418</v>
      </c>
      <c r="C22" s="39" t="s">
        <v>36</v>
      </c>
      <c r="D22" s="39">
        <v>7</v>
      </c>
      <c r="E22" s="39">
        <v>30</v>
      </c>
      <c r="F22" s="39">
        <v>210</v>
      </c>
      <c r="G22" s="39" t="s">
        <v>26</v>
      </c>
      <c r="H22" s="75">
        <v>73.5</v>
      </c>
      <c r="I22" s="75">
        <f t="shared" si="1"/>
        <v>71.295</v>
      </c>
      <c r="J22" s="75">
        <v>1.2789</v>
      </c>
      <c r="K22" s="39">
        <v>9404909000</v>
      </c>
      <c r="L22" s="39" t="s">
        <v>37</v>
      </c>
      <c r="M22" s="34">
        <v>900</v>
      </c>
      <c r="N22" s="75">
        <v>26.742</v>
      </c>
      <c r="O22" s="75">
        <f t="shared" si="2"/>
        <v>5615.82</v>
      </c>
    </row>
    <row r="23" s="56" customFormat="1" ht="13.9" customHeight="1" spans="1:15">
      <c r="A23" s="74">
        <f t="shared" si="0"/>
        <v>9</v>
      </c>
      <c r="B23" s="39">
        <v>9005420</v>
      </c>
      <c r="C23" s="39" t="s">
        <v>38</v>
      </c>
      <c r="D23" s="39">
        <v>7</v>
      </c>
      <c r="E23" s="39">
        <v>30</v>
      </c>
      <c r="F23" s="39">
        <v>210</v>
      </c>
      <c r="G23" s="39" t="s">
        <v>26</v>
      </c>
      <c r="H23" s="75">
        <v>73.5</v>
      </c>
      <c r="I23" s="75">
        <f t="shared" si="1"/>
        <v>71.295</v>
      </c>
      <c r="J23" s="75">
        <v>1.012564</v>
      </c>
      <c r="K23" s="39">
        <v>9404909000</v>
      </c>
      <c r="L23" s="39" t="s">
        <v>37</v>
      </c>
      <c r="M23" s="34">
        <v>900</v>
      </c>
      <c r="N23" s="75">
        <v>26.742</v>
      </c>
      <c r="O23" s="75">
        <f t="shared" si="2"/>
        <v>5615.82</v>
      </c>
    </row>
    <row r="24" s="56" customFormat="1" ht="13.9" customHeight="1" spans="1:15">
      <c r="A24" s="74">
        <f t="shared" si="0"/>
        <v>10</v>
      </c>
      <c r="B24" s="39">
        <v>9005421</v>
      </c>
      <c r="C24" s="39" t="s">
        <v>39</v>
      </c>
      <c r="D24" s="39">
        <v>17</v>
      </c>
      <c r="E24" s="39">
        <v>8</v>
      </c>
      <c r="F24" s="39">
        <v>136</v>
      </c>
      <c r="G24" s="39" t="s">
        <v>26</v>
      </c>
      <c r="H24" s="75">
        <v>72.25</v>
      </c>
      <c r="I24" s="75">
        <f t="shared" si="1"/>
        <v>70.0825</v>
      </c>
      <c r="J24" s="75">
        <v>1.204875</v>
      </c>
      <c r="K24" s="39">
        <v>9404909000</v>
      </c>
      <c r="L24" s="39" t="s">
        <v>37</v>
      </c>
      <c r="M24" s="34">
        <v>900</v>
      </c>
      <c r="N24" s="75">
        <v>26.742</v>
      </c>
      <c r="O24" s="75">
        <f t="shared" si="2"/>
        <v>3636.912</v>
      </c>
    </row>
    <row r="25" s="56" customFormat="1" ht="13.9" customHeight="1" spans="1:15">
      <c r="A25" s="74">
        <f t="shared" si="0"/>
        <v>11</v>
      </c>
      <c r="B25" s="39">
        <v>9004742</v>
      </c>
      <c r="C25" s="39" t="s">
        <v>40</v>
      </c>
      <c r="D25" s="39">
        <v>6</v>
      </c>
      <c r="E25" s="39">
        <v>16</v>
      </c>
      <c r="F25" s="39">
        <v>96</v>
      </c>
      <c r="G25" s="39" t="s">
        <v>26</v>
      </c>
      <c r="H25" s="75">
        <v>27</v>
      </c>
      <c r="I25" s="75">
        <f t="shared" si="1"/>
        <v>26.19</v>
      </c>
      <c r="J25" s="75">
        <v>0.336</v>
      </c>
      <c r="K25" s="39">
        <v>9404909000</v>
      </c>
      <c r="L25" s="39" t="s">
        <v>37</v>
      </c>
      <c r="M25" s="34">
        <v>900</v>
      </c>
      <c r="N25" s="75">
        <v>26.742</v>
      </c>
      <c r="O25" s="75">
        <f t="shared" si="2"/>
        <v>2567.232</v>
      </c>
    </row>
    <row r="26" s="56" customFormat="1" ht="13.9" customHeight="1" spans="1:15">
      <c r="A26" s="74">
        <f t="shared" ref="A26:A35" si="3">ROW()-14</f>
        <v>12</v>
      </c>
      <c r="B26" s="39">
        <v>9004860</v>
      </c>
      <c r="C26" s="39" t="s">
        <v>41</v>
      </c>
      <c r="D26" s="39">
        <v>1</v>
      </c>
      <c r="E26" s="39">
        <v>200</v>
      </c>
      <c r="F26" s="39">
        <v>200</v>
      </c>
      <c r="G26" s="39" t="s">
        <v>26</v>
      </c>
      <c r="H26" s="75">
        <v>18.5</v>
      </c>
      <c r="I26" s="75">
        <f t="shared" si="1"/>
        <v>17.945</v>
      </c>
      <c r="J26" s="75">
        <v>0.086292</v>
      </c>
      <c r="K26" s="39">
        <v>3924900090</v>
      </c>
      <c r="L26" s="39" t="s">
        <v>42</v>
      </c>
      <c r="M26" s="34">
        <v>900</v>
      </c>
      <c r="N26" s="75">
        <v>26.742</v>
      </c>
      <c r="O26" s="75">
        <f t="shared" si="2"/>
        <v>5348.4</v>
      </c>
    </row>
    <row r="27" s="56" customFormat="1" ht="13.9" customHeight="1" spans="1:15">
      <c r="A27" s="74">
        <f t="shared" si="3"/>
        <v>13</v>
      </c>
      <c r="B27" s="39">
        <v>9004861</v>
      </c>
      <c r="C27" s="39" t="s">
        <v>43</v>
      </c>
      <c r="D27" s="39">
        <v>1</v>
      </c>
      <c r="E27" s="39">
        <v>50</v>
      </c>
      <c r="F27" s="39">
        <v>50</v>
      </c>
      <c r="G27" s="39" t="s">
        <v>26</v>
      </c>
      <c r="H27" s="75">
        <v>18.3</v>
      </c>
      <c r="I27" s="75">
        <f t="shared" si="1"/>
        <v>17.751</v>
      </c>
      <c r="J27" s="75">
        <v>0.04884</v>
      </c>
      <c r="K27" s="39">
        <v>3926909790</v>
      </c>
      <c r="L27" s="39" t="s">
        <v>44</v>
      </c>
      <c r="M27" s="34">
        <v>900</v>
      </c>
      <c r="N27" s="75">
        <v>26.742</v>
      </c>
      <c r="O27" s="75">
        <f t="shared" si="2"/>
        <v>1337.1</v>
      </c>
    </row>
    <row r="28" s="56" customFormat="1" ht="13.9" customHeight="1" spans="1:15">
      <c r="A28" s="74">
        <f t="shared" si="3"/>
        <v>14</v>
      </c>
      <c r="B28" s="39">
        <v>9005066</v>
      </c>
      <c r="C28" s="39" t="s">
        <v>45</v>
      </c>
      <c r="D28" s="39">
        <v>2</v>
      </c>
      <c r="E28" s="39">
        <v>50</v>
      </c>
      <c r="F28" s="39">
        <v>100</v>
      </c>
      <c r="G28" s="39" t="s">
        <v>26</v>
      </c>
      <c r="H28" s="75">
        <v>25.6</v>
      </c>
      <c r="I28" s="75">
        <f t="shared" si="1"/>
        <v>24.832</v>
      </c>
      <c r="J28" s="75">
        <v>0.3575</v>
      </c>
      <c r="K28" s="39">
        <v>3926909790</v>
      </c>
      <c r="L28" s="39" t="s">
        <v>46</v>
      </c>
      <c r="M28" s="34">
        <v>900</v>
      </c>
      <c r="N28" s="75">
        <v>26.742</v>
      </c>
      <c r="O28" s="75">
        <f t="shared" si="2"/>
        <v>2674.2</v>
      </c>
    </row>
    <row r="29" s="56" customFormat="1" ht="13.9" customHeight="1" spans="1:15">
      <c r="A29" s="74">
        <f t="shared" si="3"/>
        <v>15</v>
      </c>
      <c r="B29" s="39">
        <v>9005092</v>
      </c>
      <c r="C29" s="39" t="s">
        <v>47</v>
      </c>
      <c r="D29" s="39">
        <v>2</v>
      </c>
      <c r="E29" s="39">
        <v>25</v>
      </c>
      <c r="F29" s="39">
        <v>50</v>
      </c>
      <c r="G29" s="39" t="s">
        <v>26</v>
      </c>
      <c r="H29" s="75">
        <v>23</v>
      </c>
      <c r="I29" s="75">
        <f t="shared" si="1"/>
        <v>22.31</v>
      </c>
      <c r="J29" s="75">
        <v>0.2166</v>
      </c>
      <c r="K29" s="39">
        <v>3926909790</v>
      </c>
      <c r="L29" s="39" t="s">
        <v>48</v>
      </c>
      <c r="M29" s="34">
        <v>900</v>
      </c>
      <c r="N29" s="75">
        <v>26.742</v>
      </c>
      <c r="O29" s="75">
        <f t="shared" si="2"/>
        <v>1337.1</v>
      </c>
    </row>
    <row r="30" s="56" customFormat="1" ht="13.9" customHeight="1" spans="1:15">
      <c r="A30" s="74">
        <f t="shared" si="3"/>
        <v>16</v>
      </c>
      <c r="B30" s="39">
        <v>9049455</v>
      </c>
      <c r="C30" s="39" t="s">
        <v>49</v>
      </c>
      <c r="D30" s="39">
        <v>2</v>
      </c>
      <c r="E30" s="39">
        <v>300</v>
      </c>
      <c r="F30" s="39">
        <v>600</v>
      </c>
      <c r="G30" s="39" t="s">
        <v>26</v>
      </c>
      <c r="H30" s="75">
        <v>28.54</v>
      </c>
      <c r="I30" s="75">
        <f t="shared" si="1"/>
        <v>27.6838</v>
      </c>
      <c r="J30" s="75">
        <v>0.072</v>
      </c>
      <c r="K30" s="39">
        <v>3926909790</v>
      </c>
      <c r="L30" s="39" t="s">
        <v>50</v>
      </c>
      <c r="M30" s="34" t="s">
        <v>28</v>
      </c>
      <c r="N30" s="75">
        <v>5.558</v>
      </c>
      <c r="O30" s="75">
        <f t="shared" si="2"/>
        <v>3334.8</v>
      </c>
    </row>
    <row r="31" s="56" customFormat="1" ht="13.9" customHeight="1" spans="1:15">
      <c r="A31" s="74">
        <f t="shared" si="3"/>
        <v>17</v>
      </c>
      <c r="B31" s="39">
        <v>9049090</v>
      </c>
      <c r="C31" s="39" t="s">
        <v>51</v>
      </c>
      <c r="D31" s="39">
        <v>1</v>
      </c>
      <c r="E31" s="39">
        <v>198</v>
      </c>
      <c r="F31" s="39">
        <v>198</v>
      </c>
      <c r="G31" s="39" t="s">
        <v>26</v>
      </c>
      <c r="H31" s="75">
        <v>8.33</v>
      </c>
      <c r="I31" s="75">
        <f t="shared" si="1"/>
        <v>8.0801</v>
      </c>
      <c r="J31" s="75">
        <v>0.045</v>
      </c>
      <c r="K31" s="39">
        <v>9503004990</v>
      </c>
      <c r="L31" s="39" t="s">
        <v>52</v>
      </c>
      <c r="M31" s="34" t="s">
        <v>28</v>
      </c>
      <c r="N31" s="75">
        <v>5.558</v>
      </c>
      <c r="O31" s="75">
        <f t="shared" si="2"/>
        <v>1100.484</v>
      </c>
    </row>
    <row r="32" s="56" customFormat="1" ht="13.9" customHeight="1" spans="1:15">
      <c r="A32" s="74">
        <f t="shared" si="3"/>
        <v>18</v>
      </c>
      <c r="B32" s="39">
        <v>9049091</v>
      </c>
      <c r="C32" s="39" t="s">
        <v>53</v>
      </c>
      <c r="D32" s="39">
        <v>1</v>
      </c>
      <c r="E32" s="39">
        <v>198</v>
      </c>
      <c r="F32" s="39">
        <v>198</v>
      </c>
      <c r="G32" s="39" t="s">
        <v>26</v>
      </c>
      <c r="H32" s="75">
        <v>11.92</v>
      </c>
      <c r="I32" s="75">
        <f t="shared" si="1"/>
        <v>11.5624</v>
      </c>
      <c r="J32" s="75">
        <v>0.045</v>
      </c>
      <c r="K32" s="39">
        <v>9503004990</v>
      </c>
      <c r="L32" s="39" t="s">
        <v>52</v>
      </c>
      <c r="M32" s="34" t="s">
        <v>28</v>
      </c>
      <c r="N32" s="75">
        <v>5.558</v>
      </c>
      <c r="O32" s="75">
        <f t="shared" si="2"/>
        <v>1100.484</v>
      </c>
    </row>
    <row r="33" s="56" customFormat="1" ht="13.9" customHeight="1" spans="1:15">
      <c r="A33" s="74">
        <f t="shared" si="3"/>
        <v>19</v>
      </c>
      <c r="B33" s="39">
        <v>9049092</v>
      </c>
      <c r="C33" s="39" t="s">
        <v>54</v>
      </c>
      <c r="D33" s="39">
        <v>1</v>
      </c>
      <c r="E33" s="39">
        <v>198</v>
      </c>
      <c r="F33" s="39">
        <v>198</v>
      </c>
      <c r="G33" s="39" t="s">
        <v>26</v>
      </c>
      <c r="H33" s="75">
        <v>12.05</v>
      </c>
      <c r="I33" s="75">
        <f t="shared" si="1"/>
        <v>11.6885</v>
      </c>
      <c r="J33" s="75">
        <v>0.045</v>
      </c>
      <c r="K33" s="39">
        <v>9503004990</v>
      </c>
      <c r="L33" s="39" t="s">
        <v>52</v>
      </c>
      <c r="M33" s="34" t="s">
        <v>28</v>
      </c>
      <c r="N33" s="75">
        <v>5.558</v>
      </c>
      <c r="O33" s="75">
        <f t="shared" si="2"/>
        <v>1100.484</v>
      </c>
    </row>
    <row r="34" s="56" customFormat="1" ht="13.9" customHeight="1" spans="1:15">
      <c r="A34" s="74">
        <f t="shared" si="3"/>
        <v>20</v>
      </c>
      <c r="B34" s="39">
        <v>9049093</v>
      </c>
      <c r="C34" s="39" t="s">
        <v>55</v>
      </c>
      <c r="D34" s="39">
        <v>1</v>
      </c>
      <c r="E34" s="39">
        <v>198</v>
      </c>
      <c r="F34" s="39">
        <v>198</v>
      </c>
      <c r="G34" s="39" t="s">
        <v>26</v>
      </c>
      <c r="H34" s="75">
        <v>10.6</v>
      </c>
      <c r="I34" s="75">
        <f t="shared" si="1"/>
        <v>10.282</v>
      </c>
      <c r="J34" s="75">
        <v>0.045</v>
      </c>
      <c r="K34" s="39">
        <v>9503004990</v>
      </c>
      <c r="L34" s="39" t="s">
        <v>52</v>
      </c>
      <c r="M34" s="34" t="s">
        <v>28</v>
      </c>
      <c r="N34" s="75">
        <v>5.558</v>
      </c>
      <c r="O34" s="75">
        <f t="shared" si="2"/>
        <v>1100.484</v>
      </c>
    </row>
    <row r="35" s="56" customFormat="1" ht="13.9" customHeight="1" spans="1:15">
      <c r="A35" s="74">
        <f t="shared" si="3"/>
        <v>21</v>
      </c>
      <c r="B35" s="39">
        <v>9049094</v>
      </c>
      <c r="C35" s="39" t="s">
        <v>56</v>
      </c>
      <c r="D35" s="39">
        <v>1</v>
      </c>
      <c r="E35" s="39">
        <v>198</v>
      </c>
      <c r="F35" s="39">
        <v>198</v>
      </c>
      <c r="G35" s="39" t="s">
        <v>26</v>
      </c>
      <c r="H35" s="75">
        <v>11.73</v>
      </c>
      <c r="I35" s="75">
        <f t="shared" si="1"/>
        <v>11.3781</v>
      </c>
      <c r="J35" s="75">
        <v>0.045</v>
      </c>
      <c r="K35" s="39">
        <v>9503004990</v>
      </c>
      <c r="L35" s="39" t="s">
        <v>52</v>
      </c>
      <c r="M35" s="34" t="s">
        <v>28</v>
      </c>
      <c r="N35" s="75">
        <v>5.558</v>
      </c>
      <c r="O35" s="75">
        <f t="shared" si="2"/>
        <v>1100.484</v>
      </c>
    </row>
    <row r="36" s="56" customFormat="1" ht="13.9" customHeight="1" spans="1:15">
      <c r="A36" s="74">
        <f t="shared" ref="A36:A45" si="4">ROW()-14</f>
        <v>22</v>
      </c>
      <c r="B36" s="39">
        <v>9067362</v>
      </c>
      <c r="C36" s="39" t="s">
        <v>57</v>
      </c>
      <c r="D36" s="39">
        <v>1</v>
      </c>
      <c r="E36" s="39">
        <v>360</v>
      </c>
      <c r="F36" s="39">
        <v>360</v>
      </c>
      <c r="G36" s="39" t="s">
        <v>58</v>
      </c>
      <c r="H36" s="75">
        <v>21.8</v>
      </c>
      <c r="I36" s="75">
        <f t="shared" si="1"/>
        <v>21.146</v>
      </c>
      <c r="J36" s="75">
        <v>0.13163</v>
      </c>
      <c r="K36" s="39">
        <v>6307101000</v>
      </c>
      <c r="L36" s="39" t="s">
        <v>59</v>
      </c>
      <c r="M36" s="34">
        <v>906</v>
      </c>
      <c r="N36" s="75">
        <v>8</v>
      </c>
      <c r="O36" s="75">
        <f t="shared" si="2"/>
        <v>2880</v>
      </c>
    </row>
    <row r="37" s="56" customFormat="1" ht="13.9" customHeight="1" spans="1:15">
      <c r="A37" s="74">
        <f t="shared" si="4"/>
        <v>23</v>
      </c>
      <c r="B37" s="39">
        <v>8955676</v>
      </c>
      <c r="C37" s="39" t="s">
        <v>60</v>
      </c>
      <c r="D37" s="39">
        <v>4</v>
      </c>
      <c r="E37" s="39">
        <v>192</v>
      </c>
      <c r="F37" s="39">
        <v>768</v>
      </c>
      <c r="G37" s="39" t="s">
        <v>26</v>
      </c>
      <c r="H37" s="75">
        <v>32.4</v>
      </c>
      <c r="I37" s="75">
        <f t="shared" si="1"/>
        <v>31.428</v>
      </c>
      <c r="J37" s="75">
        <v>0.448</v>
      </c>
      <c r="K37" s="39">
        <v>9608109900</v>
      </c>
      <c r="L37" s="39" t="s">
        <v>61</v>
      </c>
      <c r="M37" s="34">
        <v>908</v>
      </c>
      <c r="N37" s="75">
        <v>8.098</v>
      </c>
      <c r="O37" s="75">
        <f t="shared" si="2"/>
        <v>6219.264</v>
      </c>
    </row>
    <row r="38" s="56" customFormat="1" ht="13.9" customHeight="1" spans="1:15">
      <c r="A38" s="74">
        <f t="shared" si="4"/>
        <v>24</v>
      </c>
      <c r="B38" s="39">
        <v>9080652</v>
      </c>
      <c r="C38" s="39" t="s">
        <v>62</v>
      </c>
      <c r="D38" s="39">
        <v>1</v>
      </c>
      <c r="E38" s="39">
        <v>624</v>
      </c>
      <c r="F38" s="39">
        <v>624</v>
      </c>
      <c r="G38" s="39" t="s">
        <v>26</v>
      </c>
      <c r="H38" s="75">
        <v>29.8</v>
      </c>
      <c r="I38" s="75">
        <f t="shared" si="1"/>
        <v>28.906</v>
      </c>
      <c r="J38" s="75">
        <v>0.0828</v>
      </c>
      <c r="K38" s="39">
        <v>4903000000</v>
      </c>
      <c r="L38" s="39" t="s">
        <v>63</v>
      </c>
      <c r="M38" s="34">
        <v>908</v>
      </c>
      <c r="N38" s="75">
        <v>1.17</v>
      </c>
      <c r="O38" s="75">
        <f t="shared" si="2"/>
        <v>730.08</v>
      </c>
    </row>
    <row r="39" s="56" customFormat="1" ht="13.9" customHeight="1" spans="1:15">
      <c r="A39" s="74">
        <f t="shared" si="4"/>
        <v>25</v>
      </c>
      <c r="B39" s="39">
        <v>9061289</v>
      </c>
      <c r="C39" s="39" t="s">
        <v>64</v>
      </c>
      <c r="D39" s="39">
        <v>3</v>
      </c>
      <c r="E39" s="39">
        <v>240</v>
      </c>
      <c r="F39" s="39">
        <v>720</v>
      </c>
      <c r="G39" s="39" t="s">
        <v>26</v>
      </c>
      <c r="H39" s="75">
        <v>19.8</v>
      </c>
      <c r="I39" s="75">
        <f t="shared" si="1"/>
        <v>19.206</v>
      </c>
      <c r="J39" s="75">
        <v>0.126</v>
      </c>
      <c r="K39" s="39">
        <v>7323930090</v>
      </c>
      <c r="L39" s="39" t="s">
        <v>65</v>
      </c>
      <c r="M39" s="34">
        <v>906</v>
      </c>
      <c r="N39" s="75">
        <v>2</v>
      </c>
      <c r="O39" s="75">
        <f t="shared" si="2"/>
        <v>1440</v>
      </c>
    </row>
    <row r="40" s="56" customFormat="1" ht="13.9" customHeight="1" spans="1:15">
      <c r="A40" s="74">
        <f t="shared" si="4"/>
        <v>26</v>
      </c>
      <c r="B40" s="39">
        <v>9062695</v>
      </c>
      <c r="C40" s="39" t="s">
        <v>66</v>
      </c>
      <c r="D40" s="39">
        <v>1</v>
      </c>
      <c r="E40" s="39">
        <v>320</v>
      </c>
      <c r="F40" s="39">
        <v>320</v>
      </c>
      <c r="G40" s="39" t="s">
        <v>26</v>
      </c>
      <c r="H40" s="75">
        <v>29.8</v>
      </c>
      <c r="I40" s="75">
        <f t="shared" si="1"/>
        <v>28.906</v>
      </c>
      <c r="J40" s="75">
        <v>0.12</v>
      </c>
      <c r="K40" s="39">
        <v>9605000000</v>
      </c>
      <c r="L40" s="39" t="s">
        <v>67</v>
      </c>
      <c r="M40" s="34">
        <v>906</v>
      </c>
      <c r="N40" s="75">
        <v>0.5874</v>
      </c>
      <c r="O40" s="75">
        <f t="shared" si="2"/>
        <v>187.968</v>
      </c>
    </row>
    <row r="41" s="56" customFormat="1" ht="13.9" customHeight="1" spans="1:15">
      <c r="A41" s="74">
        <f t="shared" si="4"/>
        <v>27</v>
      </c>
      <c r="B41" s="39">
        <v>9066807</v>
      </c>
      <c r="C41" s="39" t="s">
        <v>68</v>
      </c>
      <c r="D41" s="39">
        <v>4</v>
      </c>
      <c r="E41" s="39">
        <v>240</v>
      </c>
      <c r="F41" s="39">
        <v>960</v>
      </c>
      <c r="G41" s="39" t="s">
        <v>26</v>
      </c>
      <c r="H41" s="75">
        <v>47.2</v>
      </c>
      <c r="I41" s="75">
        <f t="shared" si="1"/>
        <v>45.784</v>
      </c>
      <c r="J41" s="75">
        <v>0.4896</v>
      </c>
      <c r="K41" s="39">
        <v>7323930090</v>
      </c>
      <c r="L41" s="39" t="s">
        <v>69</v>
      </c>
      <c r="M41" s="34">
        <v>906</v>
      </c>
      <c r="N41" s="75">
        <v>5</v>
      </c>
      <c r="O41" s="75">
        <f t="shared" si="2"/>
        <v>4800</v>
      </c>
    </row>
    <row r="42" s="56" customFormat="1" ht="13.9" customHeight="1" spans="1:15">
      <c r="A42" s="74">
        <f t="shared" si="4"/>
        <v>28</v>
      </c>
      <c r="B42" s="39">
        <v>9069769</v>
      </c>
      <c r="C42" s="39" t="s">
        <v>70</v>
      </c>
      <c r="D42" s="39">
        <v>5</v>
      </c>
      <c r="E42" s="39">
        <v>100</v>
      </c>
      <c r="F42" s="39">
        <v>500</v>
      </c>
      <c r="G42" s="39" t="s">
        <v>71</v>
      </c>
      <c r="H42" s="75">
        <v>83.5</v>
      </c>
      <c r="I42" s="75">
        <f t="shared" si="1"/>
        <v>80.995</v>
      </c>
      <c r="J42" s="75">
        <v>0.66157</v>
      </c>
      <c r="K42" s="39">
        <v>8452900000</v>
      </c>
      <c r="L42" s="39" t="s">
        <v>72</v>
      </c>
      <c r="M42" s="34">
        <v>906</v>
      </c>
      <c r="N42" s="75">
        <v>3.35</v>
      </c>
      <c r="O42" s="75">
        <f t="shared" si="2"/>
        <v>1675</v>
      </c>
    </row>
    <row r="43" s="56" customFormat="1" ht="13.9" customHeight="1" spans="1:15">
      <c r="A43" s="74">
        <f t="shared" si="4"/>
        <v>29</v>
      </c>
      <c r="B43" s="39">
        <v>8975193</v>
      </c>
      <c r="C43" s="39" t="s">
        <v>73</v>
      </c>
      <c r="D43" s="39">
        <v>4</v>
      </c>
      <c r="E43" s="39">
        <v>120</v>
      </c>
      <c r="F43" s="39">
        <v>480</v>
      </c>
      <c r="G43" s="39" t="s">
        <v>26</v>
      </c>
      <c r="H43" s="75">
        <v>80</v>
      </c>
      <c r="I43" s="75">
        <f t="shared" si="1"/>
        <v>77.6</v>
      </c>
      <c r="J43" s="75">
        <v>0.6</v>
      </c>
      <c r="K43" s="39">
        <v>3924900090</v>
      </c>
      <c r="L43" s="39" t="s">
        <v>74</v>
      </c>
      <c r="M43" s="34">
        <v>906</v>
      </c>
      <c r="N43" s="75">
        <v>5.558</v>
      </c>
      <c r="O43" s="75">
        <f t="shared" si="2"/>
        <v>2667.84</v>
      </c>
    </row>
    <row r="44" s="56" customFormat="1" ht="13.9" customHeight="1" spans="1:15">
      <c r="A44" s="74">
        <f t="shared" si="4"/>
        <v>30</v>
      </c>
      <c r="B44" s="39">
        <v>8975194</v>
      </c>
      <c r="C44" s="39" t="s">
        <v>75</v>
      </c>
      <c r="D44" s="39">
        <v>2</v>
      </c>
      <c r="E44" s="39">
        <v>120</v>
      </c>
      <c r="F44" s="39">
        <v>240</v>
      </c>
      <c r="G44" s="39" t="s">
        <v>26</v>
      </c>
      <c r="H44" s="75">
        <v>34</v>
      </c>
      <c r="I44" s="75">
        <f t="shared" si="1"/>
        <v>32.98</v>
      </c>
      <c r="J44" s="75">
        <v>0.2</v>
      </c>
      <c r="K44" s="39">
        <v>3924900090</v>
      </c>
      <c r="L44" s="39" t="s">
        <v>74</v>
      </c>
      <c r="M44" s="34">
        <v>906</v>
      </c>
      <c r="N44" s="75">
        <v>5.558</v>
      </c>
      <c r="O44" s="75">
        <f t="shared" si="2"/>
        <v>1333.92</v>
      </c>
    </row>
    <row r="45" s="56" customFormat="1" ht="13.9" customHeight="1" spans="1:15">
      <c r="A45" s="74">
        <f t="shared" si="4"/>
        <v>31</v>
      </c>
      <c r="B45" s="39">
        <v>8978155</v>
      </c>
      <c r="C45" s="39" t="s">
        <v>76</v>
      </c>
      <c r="D45" s="39">
        <v>24</v>
      </c>
      <c r="E45" s="39">
        <v>48</v>
      </c>
      <c r="F45" s="39">
        <v>1152</v>
      </c>
      <c r="G45" s="39" t="s">
        <v>26</v>
      </c>
      <c r="H45" s="75">
        <v>396</v>
      </c>
      <c r="I45" s="75">
        <f t="shared" si="1"/>
        <v>384.12</v>
      </c>
      <c r="J45" s="75">
        <v>4.08</v>
      </c>
      <c r="K45" s="39">
        <v>3924900090</v>
      </c>
      <c r="L45" s="39" t="s">
        <v>46</v>
      </c>
      <c r="M45" s="34">
        <v>906</v>
      </c>
      <c r="N45" s="75">
        <v>5.558</v>
      </c>
      <c r="O45" s="75">
        <f t="shared" si="2"/>
        <v>6402.816</v>
      </c>
    </row>
    <row r="46" s="56" customFormat="1" ht="13.9" customHeight="1" spans="1:15">
      <c r="A46" s="74">
        <f t="shared" ref="A46:A55" si="5">ROW()-14</f>
        <v>32</v>
      </c>
      <c r="B46" s="39">
        <v>8920209</v>
      </c>
      <c r="C46" s="39" t="s">
        <v>77</v>
      </c>
      <c r="D46" s="39">
        <v>1</v>
      </c>
      <c r="E46" s="39">
        <v>1200</v>
      </c>
      <c r="F46" s="39">
        <v>1200</v>
      </c>
      <c r="G46" s="39" t="s">
        <v>58</v>
      </c>
      <c r="H46" s="75">
        <v>15.9</v>
      </c>
      <c r="I46" s="75">
        <f t="shared" si="1"/>
        <v>15.423</v>
      </c>
      <c r="J46" s="75">
        <v>0.096</v>
      </c>
      <c r="K46" s="39">
        <v>6117801000</v>
      </c>
      <c r="L46" s="39" t="s">
        <v>78</v>
      </c>
      <c r="M46" s="34">
        <v>905</v>
      </c>
      <c r="N46" s="75">
        <v>7.008</v>
      </c>
      <c r="O46" s="75">
        <f t="shared" si="2"/>
        <v>8409.6</v>
      </c>
    </row>
    <row r="47" s="56" customFormat="1" ht="13.9" customHeight="1" spans="1:15">
      <c r="A47" s="74">
        <f t="shared" si="5"/>
        <v>33</v>
      </c>
      <c r="B47" s="39">
        <v>8920211</v>
      </c>
      <c r="C47" s="39" t="s">
        <v>79</v>
      </c>
      <c r="D47" s="39">
        <v>1</v>
      </c>
      <c r="E47" s="39">
        <v>1200</v>
      </c>
      <c r="F47" s="39">
        <v>1200</v>
      </c>
      <c r="G47" s="39" t="s">
        <v>58</v>
      </c>
      <c r="H47" s="75">
        <v>21.2</v>
      </c>
      <c r="I47" s="75">
        <f t="shared" si="1"/>
        <v>20.564</v>
      </c>
      <c r="J47" s="75">
        <v>0.108</v>
      </c>
      <c r="K47" s="39">
        <v>6117801000</v>
      </c>
      <c r="L47" s="39" t="s">
        <v>78</v>
      </c>
      <c r="M47" s="34">
        <v>905</v>
      </c>
      <c r="N47" s="75">
        <v>7.008</v>
      </c>
      <c r="O47" s="75">
        <f t="shared" si="2"/>
        <v>8409.6</v>
      </c>
    </row>
    <row r="48" s="56" customFormat="1" ht="13.9" customHeight="1" spans="1:15">
      <c r="A48" s="74">
        <f t="shared" si="5"/>
        <v>34</v>
      </c>
      <c r="B48" s="39">
        <v>9086656</v>
      </c>
      <c r="C48" s="39" t="s">
        <v>80</v>
      </c>
      <c r="D48" s="39">
        <v>3</v>
      </c>
      <c r="E48" s="39">
        <v>200</v>
      </c>
      <c r="F48" s="39">
        <v>600</v>
      </c>
      <c r="G48" s="39" t="s">
        <v>81</v>
      </c>
      <c r="H48" s="75">
        <v>66</v>
      </c>
      <c r="I48" s="75">
        <f t="shared" si="1"/>
        <v>64.02</v>
      </c>
      <c r="J48" s="75">
        <v>0.17994</v>
      </c>
      <c r="K48" s="39">
        <v>4016999790</v>
      </c>
      <c r="L48" s="39" t="s">
        <v>82</v>
      </c>
      <c r="M48" s="34">
        <v>908</v>
      </c>
      <c r="N48" s="75">
        <v>2.6</v>
      </c>
      <c r="O48" s="75">
        <f t="shared" si="2"/>
        <v>1560</v>
      </c>
    </row>
    <row r="49" s="56" customFormat="1" ht="13.9" customHeight="1" spans="1:15">
      <c r="A49" s="74">
        <f t="shared" si="5"/>
        <v>35</v>
      </c>
      <c r="B49" s="39">
        <v>6001784</v>
      </c>
      <c r="C49" s="39" t="s">
        <v>83</v>
      </c>
      <c r="D49" s="39">
        <v>1</v>
      </c>
      <c r="E49" s="39">
        <v>48</v>
      </c>
      <c r="F49" s="39">
        <v>48</v>
      </c>
      <c r="G49" s="39" t="s">
        <v>58</v>
      </c>
      <c r="H49" s="75">
        <v>2.1</v>
      </c>
      <c r="I49" s="75">
        <f t="shared" si="1"/>
        <v>2.037</v>
      </c>
      <c r="J49" s="75">
        <v>0.048</v>
      </c>
      <c r="K49" s="39">
        <v>3924900090</v>
      </c>
      <c r="L49" s="39" t="s">
        <v>84</v>
      </c>
      <c r="M49" s="34">
        <v>906</v>
      </c>
      <c r="N49" s="75">
        <v>5.558</v>
      </c>
      <c r="O49" s="75">
        <f t="shared" si="2"/>
        <v>266.784</v>
      </c>
    </row>
    <row r="50" s="56" customFormat="1" ht="13.9" customHeight="1" spans="1:15">
      <c r="A50" s="74">
        <f t="shared" si="5"/>
        <v>36</v>
      </c>
      <c r="B50" s="39">
        <v>9080914</v>
      </c>
      <c r="C50" s="39" t="s">
        <v>85</v>
      </c>
      <c r="D50" s="39">
        <v>2</v>
      </c>
      <c r="E50" s="39">
        <v>200</v>
      </c>
      <c r="F50" s="39">
        <v>400</v>
      </c>
      <c r="G50" s="39" t="s">
        <v>81</v>
      </c>
      <c r="H50" s="75">
        <v>44</v>
      </c>
      <c r="I50" s="75">
        <f t="shared" si="1"/>
        <v>42.68</v>
      </c>
      <c r="J50" s="75">
        <v>0.11996</v>
      </c>
      <c r="K50" s="39">
        <v>4016999790</v>
      </c>
      <c r="L50" s="39" t="s">
        <v>86</v>
      </c>
      <c r="M50" s="34">
        <v>908</v>
      </c>
      <c r="N50" s="75">
        <v>2.6</v>
      </c>
      <c r="O50" s="75">
        <f t="shared" si="2"/>
        <v>1040</v>
      </c>
    </row>
    <row r="51" s="56" customFormat="1" ht="13.9" customHeight="1" spans="1:15">
      <c r="A51" s="74">
        <f t="shared" si="5"/>
        <v>37</v>
      </c>
      <c r="B51" s="39">
        <v>9064336</v>
      </c>
      <c r="C51" s="39" t="s">
        <v>87</v>
      </c>
      <c r="D51" s="39">
        <v>6</v>
      </c>
      <c r="E51" s="39">
        <v>100</v>
      </c>
      <c r="F51" s="39">
        <v>600</v>
      </c>
      <c r="G51" s="39" t="s">
        <v>58</v>
      </c>
      <c r="H51" s="75">
        <v>30</v>
      </c>
      <c r="I51" s="75">
        <f t="shared" si="1"/>
        <v>29.1</v>
      </c>
      <c r="J51" s="75">
        <v>0.5691</v>
      </c>
      <c r="K51" s="39">
        <v>3924100090</v>
      </c>
      <c r="L51" s="39" t="s">
        <v>88</v>
      </c>
      <c r="M51" s="34">
        <v>906</v>
      </c>
      <c r="N51" s="75">
        <v>1.1</v>
      </c>
      <c r="O51" s="75">
        <f t="shared" si="2"/>
        <v>660</v>
      </c>
    </row>
    <row r="52" s="56" customFormat="1" ht="13.9" customHeight="1" spans="1:15">
      <c r="A52" s="74">
        <f t="shared" si="5"/>
        <v>38</v>
      </c>
      <c r="B52" s="39">
        <v>8978217</v>
      </c>
      <c r="C52" s="39" t="s">
        <v>89</v>
      </c>
      <c r="D52" s="39">
        <v>2</v>
      </c>
      <c r="E52" s="39">
        <v>72</v>
      </c>
      <c r="F52" s="39">
        <v>144</v>
      </c>
      <c r="G52" s="39" t="s">
        <v>58</v>
      </c>
      <c r="H52" s="75">
        <v>6</v>
      </c>
      <c r="I52" s="75">
        <f t="shared" si="1"/>
        <v>5.82</v>
      </c>
      <c r="J52" s="75">
        <v>0.05</v>
      </c>
      <c r="K52" s="39">
        <v>7323100000</v>
      </c>
      <c r="L52" s="39" t="s">
        <v>90</v>
      </c>
      <c r="M52" s="34">
        <v>906</v>
      </c>
      <c r="N52" s="75">
        <v>5.558</v>
      </c>
      <c r="O52" s="75">
        <f t="shared" si="2"/>
        <v>800.352</v>
      </c>
    </row>
    <row r="53" s="56" customFormat="1" ht="13.9" customHeight="1" spans="1:15">
      <c r="A53" s="74">
        <f t="shared" si="5"/>
        <v>39</v>
      </c>
      <c r="B53" s="39">
        <v>9039239</v>
      </c>
      <c r="C53" s="39" t="s">
        <v>91</v>
      </c>
      <c r="D53" s="39">
        <v>2</v>
      </c>
      <c r="E53" s="39">
        <v>150</v>
      </c>
      <c r="F53" s="39">
        <v>300</v>
      </c>
      <c r="G53" s="39" t="s">
        <v>26</v>
      </c>
      <c r="H53" s="75">
        <v>29.2</v>
      </c>
      <c r="I53" s="75">
        <f t="shared" si="1"/>
        <v>28.324</v>
      </c>
      <c r="J53" s="75">
        <v>0.259</v>
      </c>
      <c r="K53" s="39">
        <v>4202929890</v>
      </c>
      <c r="L53" s="39" t="s">
        <v>92</v>
      </c>
      <c r="M53" s="34">
        <v>903</v>
      </c>
      <c r="N53" s="75">
        <v>4.7</v>
      </c>
      <c r="O53" s="75">
        <f t="shared" si="2"/>
        <v>1410</v>
      </c>
    </row>
    <row r="54" s="56" customFormat="1" ht="13.9" customHeight="1" spans="1:15">
      <c r="A54" s="74">
        <f t="shared" si="5"/>
        <v>40</v>
      </c>
      <c r="B54" s="39">
        <v>9064065</v>
      </c>
      <c r="C54" s="39" t="s">
        <v>93</v>
      </c>
      <c r="D54" s="39">
        <v>1</v>
      </c>
      <c r="E54" s="39">
        <v>132</v>
      </c>
      <c r="F54" s="39">
        <v>132</v>
      </c>
      <c r="G54" s="39" t="s">
        <v>58</v>
      </c>
      <c r="H54" s="75">
        <v>8.3</v>
      </c>
      <c r="I54" s="75">
        <f t="shared" si="1"/>
        <v>8.051</v>
      </c>
      <c r="J54" s="75">
        <v>0.09984</v>
      </c>
      <c r="K54" s="39">
        <v>3921190099</v>
      </c>
      <c r="L54" s="39" t="s">
        <v>94</v>
      </c>
      <c r="M54" s="34">
        <v>906</v>
      </c>
      <c r="N54" s="75">
        <v>0.583</v>
      </c>
      <c r="O54" s="75">
        <f t="shared" si="2"/>
        <v>76.956</v>
      </c>
    </row>
    <row r="55" s="56" customFormat="1" ht="13.9" customHeight="1" spans="1:15">
      <c r="A55" s="74">
        <f t="shared" si="5"/>
        <v>41</v>
      </c>
      <c r="B55" s="39">
        <v>8978222</v>
      </c>
      <c r="C55" s="39" t="s">
        <v>95</v>
      </c>
      <c r="D55" s="39">
        <v>4</v>
      </c>
      <c r="E55" s="39">
        <v>288</v>
      </c>
      <c r="F55" s="39">
        <v>1152</v>
      </c>
      <c r="G55" s="39" t="s">
        <v>58</v>
      </c>
      <c r="H55" s="75">
        <v>39.2</v>
      </c>
      <c r="I55" s="75">
        <f t="shared" si="1"/>
        <v>38.024</v>
      </c>
      <c r="J55" s="75">
        <v>0.376</v>
      </c>
      <c r="K55" s="39">
        <v>3926909790</v>
      </c>
      <c r="L55" s="39" t="s">
        <v>96</v>
      </c>
      <c r="M55" s="34">
        <v>906</v>
      </c>
      <c r="N55" s="75">
        <v>5.558</v>
      </c>
      <c r="O55" s="75">
        <f t="shared" si="2"/>
        <v>6402.816</v>
      </c>
    </row>
    <row r="56" s="56" customFormat="1" ht="13.9" customHeight="1" spans="1:15">
      <c r="A56" s="74">
        <f t="shared" ref="A56:A65" si="6">ROW()-14</f>
        <v>42</v>
      </c>
      <c r="B56" s="39">
        <v>6001255</v>
      </c>
      <c r="C56" s="39" t="s">
        <v>97</v>
      </c>
      <c r="D56" s="39">
        <v>3</v>
      </c>
      <c r="E56" s="39">
        <v>72</v>
      </c>
      <c r="F56" s="39">
        <v>216</v>
      </c>
      <c r="G56" s="39" t="s">
        <v>26</v>
      </c>
      <c r="H56" s="75">
        <v>28.26</v>
      </c>
      <c r="I56" s="75">
        <f t="shared" si="1"/>
        <v>27.4122</v>
      </c>
      <c r="J56" s="75">
        <v>0.05112</v>
      </c>
      <c r="K56" s="39">
        <v>4820200000</v>
      </c>
      <c r="L56" s="39" t="s">
        <v>98</v>
      </c>
      <c r="M56" s="34">
        <v>908</v>
      </c>
      <c r="N56" s="75">
        <v>8.098</v>
      </c>
      <c r="O56" s="75">
        <f t="shared" si="2"/>
        <v>1749.168</v>
      </c>
    </row>
    <row r="57" s="56" customFormat="1" ht="13.9" customHeight="1" spans="1:15">
      <c r="A57" s="74">
        <f t="shared" si="6"/>
        <v>43</v>
      </c>
      <c r="B57" s="39">
        <v>9037947</v>
      </c>
      <c r="C57" s="39" t="s">
        <v>99</v>
      </c>
      <c r="D57" s="39">
        <v>9</v>
      </c>
      <c r="E57" s="39">
        <v>10</v>
      </c>
      <c r="F57" s="39">
        <v>90</v>
      </c>
      <c r="G57" s="39" t="s">
        <v>26</v>
      </c>
      <c r="H57" s="75">
        <v>184.5</v>
      </c>
      <c r="I57" s="75">
        <f t="shared" si="1"/>
        <v>178.965</v>
      </c>
      <c r="J57" s="75">
        <v>1.3392</v>
      </c>
      <c r="K57" s="39">
        <v>5702503900</v>
      </c>
      <c r="L57" s="39" t="s">
        <v>100</v>
      </c>
      <c r="M57" s="34">
        <v>903</v>
      </c>
      <c r="N57" s="75">
        <v>4.7</v>
      </c>
      <c r="O57" s="75">
        <f t="shared" si="2"/>
        <v>423</v>
      </c>
    </row>
    <row r="58" s="56" customFormat="1" ht="13.9" customHeight="1" spans="1:15">
      <c r="A58" s="74">
        <f t="shared" si="6"/>
        <v>44</v>
      </c>
      <c r="B58" s="39">
        <v>9048857</v>
      </c>
      <c r="C58" s="39" t="s">
        <v>101</v>
      </c>
      <c r="D58" s="39">
        <v>5</v>
      </c>
      <c r="E58" s="39">
        <v>48</v>
      </c>
      <c r="F58" s="39">
        <v>240</v>
      </c>
      <c r="G58" s="39" t="s">
        <v>26</v>
      </c>
      <c r="H58" s="75">
        <v>100</v>
      </c>
      <c r="I58" s="75">
        <f t="shared" si="1"/>
        <v>97</v>
      </c>
      <c r="J58" s="75">
        <v>0.59462</v>
      </c>
      <c r="K58" s="39">
        <v>4414900000</v>
      </c>
      <c r="L58" s="39" t="s">
        <v>102</v>
      </c>
      <c r="M58" s="34" t="s">
        <v>28</v>
      </c>
      <c r="N58" s="75">
        <v>5.558</v>
      </c>
      <c r="O58" s="75">
        <f t="shared" si="2"/>
        <v>1333.92</v>
      </c>
    </row>
    <row r="59" s="56" customFormat="1" ht="13.9" customHeight="1" spans="1:15">
      <c r="A59" s="74">
        <f t="shared" si="6"/>
        <v>45</v>
      </c>
      <c r="B59" s="39">
        <v>9039459</v>
      </c>
      <c r="C59" s="39" t="s">
        <v>103</v>
      </c>
      <c r="D59" s="39">
        <v>13</v>
      </c>
      <c r="E59" s="39">
        <v>30</v>
      </c>
      <c r="F59" s="39">
        <v>390</v>
      </c>
      <c r="G59" s="39" t="s">
        <v>26</v>
      </c>
      <c r="H59" s="75">
        <v>182</v>
      </c>
      <c r="I59" s="75">
        <f t="shared" si="1"/>
        <v>176.54</v>
      </c>
      <c r="J59" s="75">
        <v>2.35248</v>
      </c>
      <c r="K59" s="39">
        <v>9404909000</v>
      </c>
      <c r="L59" s="39" t="s">
        <v>104</v>
      </c>
      <c r="M59" s="34">
        <v>903</v>
      </c>
      <c r="N59" s="75">
        <v>4.7</v>
      </c>
      <c r="O59" s="75">
        <f t="shared" si="2"/>
        <v>1833</v>
      </c>
    </row>
    <row r="60" s="56" customFormat="1" ht="13.9" customHeight="1" spans="1:15">
      <c r="A60" s="74">
        <f t="shared" si="6"/>
        <v>46</v>
      </c>
      <c r="B60" s="39">
        <v>6001281</v>
      </c>
      <c r="C60" s="39" t="s">
        <v>105</v>
      </c>
      <c r="D60" s="39">
        <v>11</v>
      </c>
      <c r="E60" s="39">
        <v>12</v>
      </c>
      <c r="F60" s="39">
        <v>132</v>
      </c>
      <c r="G60" s="39" t="s">
        <v>26</v>
      </c>
      <c r="H60" s="75">
        <v>23.1</v>
      </c>
      <c r="I60" s="75">
        <f t="shared" si="1"/>
        <v>22.407</v>
      </c>
      <c r="J60" s="75">
        <v>0.122925</v>
      </c>
      <c r="K60" s="39">
        <v>3926400000</v>
      </c>
      <c r="L60" s="39" t="s">
        <v>106</v>
      </c>
      <c r="M60" s="34">
        <v>904</v>
      </c>
      <c r="N60" s="75">
        <v>9.1726</v>
      </c>
      <c r="O60" s="75">
        <f t="shared" si="2"/>
        <v>1210.7832</v>
      </c>
    </row>
    <row r="61" s="56" customFormat="1" ht="13.9" customHeight="1" spans="1:15">
      <c r="A61" s="74">
        <f t="shared" si="6"/>
        <v>47</v>
      </c>
      <c r="B61" s="39">
        <v>6001282</v>
      </c>
      <c r="C61" s="39" t="s">
        <v>107</v>
      </c>
      <c r="D61" s="39">
        <v>27</v>
      </c>
      <c r="E61" s="39">
        <v>12</v>
      </c>
      <c r="F61" s="39">
        <v>324</v>
      </c>
      <c r="G61" s="39" t="s">
        <v>26</v>
      </c>
      <c r="H61" s="75">
        <v>70.2</v>
      </c>
      <c r="I61" s="75">
        <f t="shared" si="1"/>
        <v>68.094</v>
      </c>
      <c r="J61" s="75">
        <v>0.406323</v>
      </c>
      <c r="K61" s="39">
        <v>3926400000</v>
      </c>
      <c r="L61" s="39" t="s">
        <v>106</v>
      </c>
      <c r="M61" s="34">
        <v>904</v>
      </c>
      <c r="N61" s="75">
        <v>9.1726</v>
      </c>
      <c r="O61" s="75">
        <f t="shared" si="2"/>
        <v>2971.9224</v>
      </c>
    </row>
    <row r="62" s="56" customFormat="1" ht="13.9" customHeight="1" spans="1:15">
      <c r="A62" s="74">
        <f t="shared" si="6"/>
        <v>48</v>
      </c>
      <c r="B62" s="39">
        <v>6001284</v>
      </c>
      <c r="C62" s="39" t="s">
        <v>108</v>
      </c>
      <c r="D62" s="39">
        <v>51</v>
      </c>
      <c r="E62" s="39">
        <v>12</v>
      </c>
      <c r="F62" s="39">
        <v>612</v>
      </c>
      <c r="G62" s="39" t="s">
        <v>26</v>
      </c>
      <c r="H62" s="75">
        <v>112.71</v>
      </c>
      <c r="I62" s="75">
        <f t="shared" si="1"/>
        <v>109.3287</v>
      </c>
      <c r="J62" s="75">
        <v>0.443394</v>
      </c>
      <c r="K62" s="39">
        <v>4414900000</v>
      </c>
      <c r="L62" s="39" t="s">
        <v>109</v>
      </c>
      <c r="M62" s="34">
        <v>904</v>
      </c>
      <c r="N62" s="75">
        <v>9.1726</v>
      </c>
      <c r="O62" s="75">
        <f t="shared" si="2"/>
        <v>5613.6312</v>
      </c>
    </row>
    <row r="63" s="56" customFormat="1" ht="13.9" customHeight="1" spans="1:15">
      <c r="A63" s="74">
        <f t="shared" si="6"/>
        <v>49</v>
      </c>
      <c r="B63" s="39">
        <v>6001285</v>
      </c>
      <c r="C63" s="39" t="s">
        <v>110</v>
      </c>
      <c r="D63" s="39">
        <v>6</v>
      </c>
      <c r="E63" s="39">
        <v>12</v>
      </c>
      <c r="F63" s="39">
        <v>72</v>
      </c>
      <c r="G63" s="39" t="s">
        <v>26</v>
      </c>
      <c r="H63" s="75">
        <v>16.5</v>
      </c>
      <c r="I63" s="75">
        <f t="shared" si="1"/>
        <v>16.005</v>
      </c>
      <c r="J63" s="75">
        <v>0.068796</v>
      </c>
      <c r="K63" s="39">
        <v>4414900000</v>
      </c>
      <c r="L63" s="39" t="s">
        <v>109</v>
      </c>
      <c r="M63" s="34">
        <v>904</v>
      </c>
      <c r="N63" s="75">
        <v>9.1726</v>
      </c>
      <c r="O63" s="75">
        <f t="shared" si="2"/>
        <v>660.4272</v>
      </c>
    </row>
    <row r="64" s="56" customFormat="1" ht="13.9" customHeight="1" spans="1:15">
      <c r="A64" s="74">
        <f t="shared" si="6"/>
        <v>50</v>
      </c>
      <c r="B64" s="39">
        <v>6001287</v>
      </c>
      <c r="C64" s="39" t="s">
        <v>111</v>
      </c>
      <c r="D64" s="39">
        <v>16</v>
      </c>
      <c r="E64" s="39">
        <v>12</v>
      </c>
      <c r="F64" s="39">
        <v>192</v>
      </c>
      <c r="G64" s="39" t="s">
        <v>26</v>
      </c>
      <c r="H64" s="75">
        <v>67.2</v>
      </c>
      <c r="I64" s="75">
        <f t="shared" si="1"/>
        <v>65.184</v>
      </c>
      <c r="J64" s="75">
        <v>0.11616</v>
      </c>
      <c r="K64" s="39">
        <v>8306300000</v>
      </c>
      <c r="L64" s="39" t="s">
        <v>112</v>
      </c>
      <c r="M64" s="34">
        <v>904</v>
      </c>
      <c r="N64" s="75">
        <v>5</v>
      </c>
      <c r="O64" s="75">
        <f t="shared" si="2"/>
        <v>960</v>
      </c>
    </row>
    <row r="65" s="56" customFormat="1" ht="13.9" customHeight="1" spans="1:15">
      <c r="A65" s="74">
        <f t="shared" si="6"/>
        <v>51</v>
      </c>
      <c r="B65" s="39">
        <v>6001289</v>
      </c>
      <c r="C65" s="39" t="s">
        <v>113</v>
      </c>
      <c r="D65" s="39">
        <v>12</v>
      </c>
      <c r="E65" s="39">
        <v>4</v>
      </c>
      <c r="F65" s="39">
        <v>48</v>
      </c>
      <c r="G65" s="39" t="s">
        <v>26</v>
      </c>
      <c r="H65" s="75">
        <v>53.04</v>
      </c>
      <c r="I65" s="75">
        <f t="shared" si="1"/>
        <v>51.4488</v>
      </c>
      <c r="J65" s="75">
        <v>0.303456</v>
      </c>
      <c r="K65" s="39">
        <v>8306300000</v>
      </c>
      <c r="L65" s="39" t="s">
        <v>112</v>
      </c>
      <c r="M65" s="34">
        <v>904</v>
      </c>
      <c r="N65" s="75">
        <v>8</v>
      </c>
      <c r="O65" s="75">
        <f t="shared" si="2"/>
        <v>384</v>
      </c>
    </row>
    <row r="66" s="56" customFormat="1" ht="13.9" customHeight="1" spans="1:15">
      <c r="A66" s="74">
        <f t="shared" ref="A66:A75" si="7">ROW()-14</f>
        <v>52</v>
      </c>
      <c r="B66" s="39">
        <v>6001301</v>
      </c>
      <c r="C66" s="39" t="s">
        <v>114</v>
      </c>
      <c r="D66" s="39">
        <v>11</v>
      </c>
      <c r="E66" s="39">
        <v>12</v>
      </c>
      <c r="F66" s="39">
        <v>132</v>
      </c>
      <c r="G66" s="39" t="s">
        <v>26</v>
      </c>
      <c r="H66" s="75">
        <v>18.7</v>
      </c>
      <c r="I66" s="75">
        <f t="shared" si="1"/>
        <v>18.139</v>
      </c>
      <c r="J66" s="75">
        <v>0.152218</v>
      </c>
      <c r="K66" s="39">
        <v>9405500090</v>
      </c>
      <c r="L66" s="39" t="s">
        <v>115</v>
      </c>
      <c r="M66" s="34" t="s">
        <v>28</v>
      </c>
      <c r="N66" s="75">
        <v>5.558</v>
      </c>
      <c r="O66" s="75">
        <f t="shared" si="2"/>
        <v>733.656</v>
      </c>
    </row>
    <row r="67" s="56" customFormat="1" ht="13.9" customHeight="1" spans="1:15">
      <c r="A67" s="74">
        <f t="shared" si="7"/>
        <v>53</v>
      </c>
      <c r="B67" s="39">
        <v>6001307</v>
      </c>
      <c r="C67" s="39" t="s">
        <v>116</v>
      </c>
      <c r="D67" s="39">
        <v>10</v>
      </c>
      <c r="E67" s="39">
        <v>8</v>
      </c>
      <c r="F67" s="39">
        <v>80</v>
      </c>
      <c r="G67" s="39" t="s">
        <v>26</v>
      </c>
      <c r="H67" s="75">
        <v>48</v>
      </c>
      <c r="I67" s="75">
        <f t="shared" si="1"/>
        <v>46.56</v>
      </c>
      <c r="J67" s="75">
        <v>0.0465</v>
      </c>
      <c r="K67" s="39">
        <v>4420190000</v>
      </c>
      <c r="L67" s="39" t="s">
        <v>117</v>
      </c>
      <c r="M67" s="34" t="s">
        <v>28</v>
      </c>
      <c r="N67" s="75">
        <v>5.558</v>
      </c>
      <c r="O67" s="75">
        <f t="shared" si="2"/>
        <v>444.64</v>
      </c>
    </row>
    <row r="68" s="57" customFormat="1" ht="13.9" customHeight="1" spans="1:15">
      <c r="A68" s="76">
        <f t="shared" si="7"/>
        <v>54</v>
      </c>
      <c r="B68" s="77">
        <v>8803286</v>
      </c>
      <c r="C68" s="77" t="s">
        <v>118</v>
      </c>
      <c r="D68" s="77">
        <v>12</v>
      </c>
      <c r="E68" s="77">
        <v>12</v>
      </c>
      <c r="F68" s="77">
        <v>144</v>
      </c>
      <c r="G68" s="77" t="s">
        <v>26</v>
      </c>
      <c r="H68" s="78">
        <v>86.4</v>
      </c>
      <c r="I68" s="78">
        <f t="shared" si="1"/>
        <v>83.808</v>
      </c>
      <c r="J68" s="78">
        <v>0.1701</v>
      </c>
      <c r="K68" s="77">
        <v>9405500090</v>
      </c>
      <c r="L68" s="77" t="s">
        <v>119</v>
      </c>
      <c r="M68" s="79" t="s">
        <v>28</v>
      </c>
      <c r="N68" s="78">
        <v>5.558</v>
      </c>
      <c r="O68" s="78">
        <f t="shared" si="2"/>
        <v>800.352</v>
      </c>
    </row>
    <row r="69" s="58" customFormat="1" ht="13.9" customHeight="1" spans="1:15">
      <c r="A69" s="80">
        <f t="shared" si="7"/>
        <v>55</v>
      </c>
      <c r="B69" s="81">
        <v>8803287</v>
      </c>
      <c r="C69" s="81" t="s">
        <v>120</v>
      </c>
      <c r="D69" s="81">
        <v>23</v>
      </c>
      <c r="E69" s="81">
        <v>12</v>
      </c>
      <c r="F69" s="81">
        <v>276</v>
      </c>
      <c r="G69" s="81" t="s">
        <v>26</v>
      </c>
      <c r="H69" s="82">
        <v>105.8</v>
      </c>
      <c r="I69" s="82">
        <f t="shared" si="1"/>
        <v>102.626</v>
      </c>
      <c r="J69" s="82">
        <v>0.538959</v>
      </c>
      <c r="K69" s="81">
        <v>6913909890</v>
      </c>
      <c r="L69" s="81" t="s">
        <v>121</v>
      </c>
      <c r="M69" s="83" t="s">
        <v>28</v>
      </c>
      <c r="N69" s="82">
        <v>5.558</v>
      </c>
      <c r="O69" s="82">
        <f t="shared" si="2"/>
        <v>1534.008</v>
      </c>
    </row>
    <row r="70" s="58" customFormat="1" ht="13.9" customHeight="1" spans="1:15">
      <c r="A70" s="80">
        <f t="shared" si="7"/>
        <v>56</v>
      </c>
      <c r="B70" s="81">
        <v>8803290</v>
      </c>
      <c r="C70" s="81" t="s">
        <v>122</v>
      </c>
      <c r="D70" s="81">
        <v>14</v>
      </c>
      <c r="E70" s="81">
        <v>12</v>
      </c>
      <c r="F70" s="81">
        <v>168</v>
      </c>
      <c r="G70" s="81" t="s">
        <v>26</v>
      </c>
      <c r="H70" s="82">
        <v>151.2</v>
      </c>
      <c r="I70" s="82">
        <f t="shared" si="1"/>
        <v>146.664</v>
      </c>
      <c r="J70" s="82">
        <v>0.590016</v>
      </c>
      <c r="K70" s="81">
        <v>6913909890</v>
      </c>
      <c r="L70" s="81" t="s">
        <v>121</v>
      </c>
      <c r="M70" s="83" t="s">
        <v>28</v>
      </c>
      <c r="N70" s="82">
        <v>5.558</v>
      </c>
      <c r="O70" s="82">
        <f t="shared" si="2"/>
        <v>933.744</v>
      </c>
    </row>
    <row r="71" s="57" customFormat="1" ht="13.9" customHeight="1" spans="1:15">
      <c r="A71" s="76">
        <f t="shared" si="7"/>
        <v>57</v>
      </c>
      <c r="B71" s="77">
        <v>9048768</v>
      </c>
      <c r="C71" s="77" t="s">
        <v>123</v>
      </c>
      <c r="D71" s="77">
        <v>5</v>
      </c>
      <c r="E71" s="77">
        <v>6</v>
      </c>
      <c r="F71" s="77">
        <v>30</v>
      </c>
      <c r="G71" s="77" t="s">
        <v>26</v>
      </c>
      <c r="H71" s="78">
        <v>44.3</v>
      </c>
      <c r="I71" s="78">
        <f t="shared" si="1"/>
        <v>42.971</v>
      </c>
      <c r="J71" s="78">
        <v>0.2626</v>
      </c>
      <c r="K71" s="77">
        <v>9403208000</v>
      </c>
      <c r="L71" s="77" t="s">
        <v>124</v>
      </c>
      <c r="M71" s="79" t="s">
        <v>28</v>
      </c>
      <c r="N71" s="78">
        <v>5.558</v>
      </c>
      <c r="O71" s="78">
        <f t="shared" si="2"/>
        <v>166.74</v>
      </c>
    </row>
    <row r="72" s="56" customFormat="1" ht="13.9" customHeight="1" spans="1:15">
      <c r="A72" s="74">
        <f t="shared" si="7"/>
        <v>58</v>
      </c>
      <c r="B72" s="39">
        <v>8900039</v>
      </c>
      <c r="C72" s="39" t="s">
        <v>125</v>
      </c>
      <c r="D72" s="39">
        <v>1</v>
      </c>
      <c r="E72" s="39">
        <v>120</v>
      </c>
      <c r="F72" s="39">
        <v>120</v>
      </c>
      <c r="G72" s="39" t="s">
        <v>26</v>
      </c>
      <c r="H72" s="75">
        <v>18.82</v>
      </c>
      <c r="I72" s="75">
        <f t="shared" si="1"/>
        <v>18.2554</v>
      </c>
      <c r="J72" s="75">
        <v>0.111</v>
      </c>
      <c r="K72" s="39">
        <v>4202929190</v>
      </c>
      <c r="L72" s="39" t="s">
        <v>126</v>
      </c>
      <c r="M72" s="34">
        <v>903</v>
      </c>
      <c r="N72" s="75">
        <v>4.7</v>
      </c>
      <c r="O72" s="75">
        <f t="shared" si="2"/>
        <v>564</v>
      </c>
    </row>
    <row r="73" s="56" customFormat="1" ht="13.9" customHeight="1" spans="1:15">
      <c r="A73" s="74">
        <f t="shared" si="7"/>
        <v>59</v>
      </c>
      <c r="B73" s="39">
        <v>8900042</v>
      </c>
      <c r="C73" s="39" t="s">
        <v>127</v>
      </c>
      <c r="D73" s="39">
        <v>2</v>
      </c>
      <c r="E73" s="39">
        <v>210</v>
      </c>
      <c r="F73" s="39">
        <v>420</v>
      </c>
      <c r="G73" s="39" t="s">
        <v>26</v>
      </c>
      <c r="H73" s="75">
        <v>33.2</v>
      </c>
      <c r="I73" s="75">
        <f t="shared" si="1"/>
        <v>32.204</v>
      </c>
      <c r="J73" s="75">
        <v>0.185</v>
      </c>
      <c r="K73" s="39">
        <v>4202929190</v>
      </c>
      <c r="L73" s="39" t="s">
        <v>128</v>
      </c>
      <c r="M73" s="34">
        <v>903</v>
      </c>
      <c r="N73" s="75">
        <v>4.7</v>
      </c>
      <c r="O73" s="75">
        <f t="shared" si="2"/>
        <v>1974</v>
      </c>
    </row>
    <row r="74" s="56" customFormat="1" ht="13.9" customHeight="1" spans="1:15">
      <c r="A74" s="74">
        <f t="shared" si="7"/>
        <v>60</v>
      </c>
      <c r="B74" s="39">
        <v>8978215</v>
      </c>
      <c r="C74" s="39" t="s">
        <v>129</v>
      </c>
      <c r="D74" s="39">
        <v>7</v>
      </c>
      <c r="E74" s="39">
        <v>72</v>
      </c>
      <c r="F74" s="39">
        <v>504</v>
      </c>
      <c r="G74" s="39" t="s">
        <v>58</v>
      </c>
      <c r="H74" s="75">
        <v>32.9</v>
      </c>
      <c r="I74" s="75">
        <f t="shared" si="1"/>
        <v>31.913</v>
      </c>
      <c r="J74" s="75">
        <v>0.329</v>
      </c>
      <c r="K74" s="39">
        <v>7323100000</v>
      </c>
      <c r="L74" s="39" t="s">
        <v>130</v>
      </c>
      <c r="M74" s="34">
        <v>906</v>
      </c>
      <c r="N74" s="75">
        <v>5.558</v>
      </c>
      <c r="O74" s="75">
        <f t="shared" si="2"/>
        <v>2801.232</v>
      </c>
    </row>
    <row r="75" s="56" customFormat="1" ht="13.9" customHeight="1" spans="1:15">
      <c r="A75" s="74">
        <f t="shared" si="7"/>
        <v>61</v>
      </c>
      <c r="B75" s="39">
        <v>9036240</v>
      </c>
      <c r="C75" s="39" t="s">
        <v>131</v>
      </c>
      <c r="D75" s="39">
        <v>2</v>
      </c>
      <c r="E75" s="39">
        <v>50</v>
      </c>
      <c r="F75" s="39">
        <v>100</v>
      </c>
      <c r="G75" s="39" t="s">
        <v>26</v>
      </c>
      <c r="H75" s="75">
        <v>35.6</v>
      </c>
      <c r="I75" s="75">
        <f t="shared" si="1"/>
        <v>34.532</v>
      </c>
      <c r="J75" s="75">
        <v>0.259</v>
      </c>
      <c r="K75" s="39">
        <v>4202221000</v>
      </c>
      <c r="L75" s="39" t="s">
        <v>132</v>
      </c>
      <c r="M75" s="34">
        <v>903</v>
      </c>
      <c r="N75" s="75">
        <v>6</v>
      </c>
      <c r="O75" s="75">
        <f t="shared" si="2"/>
        <v>600</v>
      </c>
    </row>
    <row r="76" s="56" customFormat="1" ht="13.9" customHeight="1" spans="1:15">
      <c r="A76" s="74">
        <f t="shared" ref="A76:A85" si="8">ROW()-14</f>
        <v>62</v>
      </c>
      <c r="B76" s="39">
        <v>9036848</v>
      </c>
      <c r="C76" s="39" t="s">
        <v>133</v>
      </c>
      <c r="D76" s="39">
        <v>1</v>
      </c>
      <c r="E76" s="39">
        <v>100</v>
      </c>
      <c r="F76" s="39">
        <v>100</v>
      </c>
      <c r="G76" s="39" t="s">
        <v>26</v>
      </c>
      <c r="H76" s="75">
        <v>11</v>
      </c>
      <c r="I76" s="75">
        <f t="shared" si="1"/>
        <v>10.67</v>
      </c>
      <c r="J76" s="75">
        <v>0.111</v>
      </c>
      <c r="K76" s="39">
        <v>4202929190</v>
      </c>
      <c r="L76" s="39" t="s">
        <v>134</v>
      </c>
      <c r="M76" s="34">
        <v>903</v>
      </c>
      <c r="N76" s="75">
        <v>3</v>
      </c>
      <c r="O76" s="75">
        <f t="shared" si="2"/>
        <v>300</v>
      </c>
    </row>
    <row r="77" s="56" customFormat="1" ht="13.9" customHeight="1" spans="1:15">
      <c r="A77" s="74">
        <f t="shared" si="8"/>
        <v>63</v>
      </c>
      <c r="B77" s="39">
        <v>9037408</v>
      </c>
      <c r="C77" s="39" t="s">
        <v>135</v>
      </c>
      <c r="D77" s="39">
        <v>1</v>
      </c>
      <c r="E77" s="39">
        <v>150</v>
      </c>
      <c r="F77" s="39">
        <v>150</v>
      </c>
      <c r="G77" s="39" t="s">
        <v>26</v>
      </c>
      <c r="H77" s="75">
        <v>22.5</v>
      </c>
      <c r="I77" s="75">
        <f t="shared" si="1"/>
        <v>21.825</v>
      </c>
      <c r="J77" s="75">
        <v>0.111</v>
      </c>
      <c r="K77" s="39">
        <v>4202921100</v>
      </c>
      <c r="L77" s="39" t="s">
        <v>132</v>
      </c>
      <c r="M77" s="34">
        <v>903</v>
      </c>
      <c r="N77" s="75">
        <v>3</v>
      </c>
      <c r="O77" s="75">
        <f t="shared" si="2"/>
        <v>450</v>
      </c>
    </row>
    <row r="78" s="56" customFormat="1" ht="13.9" customHeight="1" spans="1:15">
      <c r="A78" s="74">
        <f t="shared" si="8"/>
        <v>64</v>
      </c>
      <c r="B78" s="39">
        <v>9037409</v>
      </c>
      <c r="C78" s="39" t="s">
        <v>136</v>
      </c>
      <c r="D78" s="39">
        <v>2</v>
      </c>
      <c r="E78" s="39">
        <v>90</v>
      </c>
      <c r="F78" s="39">
        <v>180</v>
      </c>
      <c r="G78" s="39" t="s">
        <v>26</v>
      </c>
      <c r="H78" s="75">
        <v>43</v>
      </c>
      <c r="I78" s="75">
        <f t="shared" si="1"/>
        <v>41.71</v>
      </c>
      <c r="J78" s="75">
        <v>0.259</v>
      </c>
      <c r="K78" s="39">
        <v>4202921100</v>
      </c>
      <c r="L78" s="39" t="s">
        <v>132</v>
      </c>
      <c r="M78" s="34">
        <v>903</v>
      </c>
      <c r="N78" s="75">
        <v>3</v>
      </c>
      <c r="O78" s="75">
        <f t="shared" si="2"/>
        <v>540</v>
      </c>
    </row>
    <row r="79" s="56" customFormat="1" ht="13.9" customHeight="1" spans="1:15">
      <c r="A79" s="74">
        <f t="shared" si="8"/>
        <v>65</v>
      </c>
      <c r="B79" s="39">
        <v>9039237</v>
      </c>
      <c r="C79" s="39" t="s">
        <v>137</v>
      </c>
      <c r="D79" s="39">
        <v>1</v>
      </c>
      <c r="E79" s="39">
        <v>80</v>
      </c>
      <c r="F79" s="39">
        <v>80</v>
      </c>
      <c r="G79" s="39" t="s">
        <v>26</v>
      </c>
      <c r="H79" s="75">
        <v>14.4</v>
      </c>
      <c r="I79" s="75">
        <f t="shared" si="1"/>
        <v>13.968</v>
      </c>
      <c r="J79" s="75">
        <v>0.090972</v>
      </c>
      <c r="K79" s="39">
        <v>4202929890</v>
      </c>
      <c r="L79" s="39" t="s">
        <v>138</v>
      </c>
      <c r="M79" s="34">
        <v>903</v>
      </c>
      <c r="N79" s="75">
        <v>4.7</v>
      </c>
      <c r="O79" s="75">
        <f t="shared" si="2"/>
        <v>376</v>
      </c>
    </row>
    <row r="80" s="56" customFormat="1" ht="13.9" customHeight="1" spans="1:15">
      <c r="A80" s="74">
        <f t="shared" si="8"/>
        <v>66</v>
      </c>
      <c r="B80" s="39">
        <v>9039880</v>
      </c>
      <c r="C80" s="39" t="s">
        <v>139</v>
      </c>
      <c r="D80" s="39">
        <v>1</v>
      </c>
      <c r="E80" s="39">
        <v>300</v>
      </c>
      <c r="F80" s="39">
        <v>300</v>
      </c>
      <c r="G80" s="39" t="s">
        <v>26</v>
      </c>
      <c r="H80" s="75">
        <v>14.3</v>
      </c>
      <c r="I80" s="75">
        <f t="shared" ref="I80:I143" si="9">H80*0.97</f>
        <v>13.871</v>
      </c>
      <c r="J80" s="75">
        <v>0.090972</v>
      </c>
      <c r="K80" s="39">
        <v>4202929190</v>
      </c>
      <c r="L80" s="39" t="s">
        <v>140</v>
      </c>
      <c r="M80" s="34">
        <v>903</v>
      </c>
      <c r="N80" s="75">
        <v>4.7</v>
      </c>
      <c r="O80" s="75">
        <f t="shared" ref="O80:O143" si="10">N80*F80</f>
        <v>1410</v>
      </c>
    </row>
    <row r="81" s="56" customFormat="1" ht="13.9" customHeight="1" spans="1:15">
      <c r="A81" s="74">
        <f t="shared" si="8"/>
        <v>67</v>
      </c>
      <c r="B81" s="39">
        <v>9039881</v>
      </c>
      <c r="C81" s="39" t="s">
        <v>141</v>
      </c>
      <c r="D81" s="39">
        <v>1</v>
      </c>
      <c r="E81" s="39">
        <v>180</v>
      </c>
      <c r="F81" s="39">
        <v>180</v>
      </c>
      <c r="G81" s="39" t="s">
        <v>26</v>
      </c>
      <c r="H81" s="75">
        <v>11</v>
      </c>
      <c r="I81" s="75">
        <f t="shared" si="9"/>
        <v>10.67</v>
      </c>
      <c r="J81" s="75">
        <v>0.0925</v>
      </c>
      <c r="K81" s="39">
        <v>4202929190</v>
      </c>
      <c r="L81" s="39" t="s">
        <v>142</v>
      </c>
      <c r="M81" s="34">
        <v>903</v>
      </c>
      <c r="N81" s="75">
        <v>4.7</v>
      </c>
      <c r="O81" s="75">
        <f t="shared" si="10"/>
        <v>846</v>
      </c>
    </row>
    <row r="82" s="56" customFormat="1" ht="13.9" customHeight="1" spans="1:15">
      <c r="A82" s="74">
        <f t="shared" si="8"/>
        <v>68</v>
      </c>
      <c r="B82" s="39">
        <v>9055345</v>
      </c>
      <c r="C82" s="39" t="s">
        <v>143</v>
      </c>
      <c r="D82" s="39">
        <v>2</v>
      </c>
      <c r="E82" s="39">
        <v>120</v>
      </c>
      <c r="F82" s="39">
        <v>240</v>
      </c>
      <c r="G82" s="39" t="s">
        <v>26</v>
      </c>
      <c r="H82" s="75">
        <v>52</v>
      </c>
      <c r="I82" s="75">
        <f t="shared" si="9"/>
        <v>50.44</v>
      </c>
      <c r="J82" s="75">
        <v>0.3256</v>
      </c>
      <c r="K82" s="39">
        <v>4202921100</v>
      </c>
      <c r="L82" s="39" t="s">
        <v>144</v>
      </c>
      <c r="M82" s="34">
        <v>903</v>
      </c>
      <c r="N82" s="75">
        <v>5</v>
      </c>
      <c r="O82" s="75">
        <f t="shared" si="10"/>
        <v>1200</v>
      </c>
    </row>
    <row r="83" s="56" customFormat="1" ht="13.9" customHeight="1" spans="1:15">
      <c r="A83" s="74">
        <f t="shared" si="8"/>
        <v>69</v>
      </c>
      <c r="B83" s="39">
        <v>8978148</v>
      </c>
      <c r="C83" s="39" t="s">
        <v>145</v>
      </c>
      <c r="D83" s="39">
        <v>2</v>
      </c>
      <c r="E83" s="39">
        <v>96</v>
      </c>
      <c r="F83" s="39">
        <v>192</v>
      </c>
      <c r="G83" s="39" t="s">
        <v>58</v>
      </c>
      <c r="H83" s="75">
        <v>16.76</v>
      </c>
      <c r="I83" s="75">
        <f t="shared" si="9"/>
        <v>16.2572</v>
      </c>
      <c r="J83" s="75">
        <v>0.238392</v>
      </c>
      <c r="K83" s="39">
        <v>6805300000</v>
      </c>
      <c r="L83" s="39" t="s">
        <v>140</v>
      </c>
      <c r="M83" s="34">
        <v>906</v>
      </c>
      <c r="N83" s="75">
        <v>5.558</v>
      </c>
      <c r="O83" s="75">
        <f t="shared" si="10"/>
        <v>1067.136</v>
      </c>
    </row>
    <row r="84" s="56" customFormat="1" ht="13.9" customHeight="1" spans="1:15">
      <c r="A84" s="74">
        <f t="shared" si="8"/>
        <v>70</v>
      </c>
      <c r="B84" s="39">
        <v>8978147</v>
      </c>
      <c r="C84" s="39" t="s">
        <v>146</v>
      </c>
      <c r="D84" s="39">
        <v>3</v>
      </c>
      <c r="E84" s="39">
        <v>100</v>
      </c>
      <c r="F84" s="39">
        <v>300</v>
      </c>
      <c r="G84" s="39" t="s">
        <v>58</v>
      </c>
      <c r="H84" s="75">
        <v>11.94</v>
      </c>
      <c r="I84" s="75">
        <f t="shared" si="9"/>
        <v>11.5818</v>
      </c>
      <c r="J84" s="75">
        <v>0.255</v>
      </c>
      <c r="K84" s="39">
        <v>6805300000</v>
      </c>
      <c r="L84" s="39" t="s">
        <v>140</v>
      </c>
      <c r="M84" s="34">
        <v>906</v>
      </c>
      <c r="N84" s="75">
        <v>5.558</v>
      </c>
      <c r="O84" s="75">
        <f t="shared" si="10"/>
        <v>1667.4</v>
      </c>
    </row>
    <row r="85" s="56" customFormat="1" ht="13.9" customHeight="1" spans="1:15">
      <c r="A85" s="74">
        <f t="shared" si="8"/>
        <v>71</v>
      </c>
      <c r="B85" s="39">
        <v>8955028</v>
      </c>
      <c r="C85" s="39" t="s">
        <v>147</v>
      </c>
      <c r="D85" s="39">
        <v>2</v>
      </c>
      <c r="E85" s="39">
        <v>240</v>
      </c>
      <c r="F85" s="39">
        <v>480</v>
      </c>
      <c r="G85" s="39" t="s">
        <v>81</v>
      </c>
      <c r="H85" s="75">
        <v>45.6</v>
      </c>
      <c r="I85" s="75">
        <f t="shared" si="9"/>
        <v>44.232</v>
      </c>
      <c r="J85" s="75">
        <v>0.39464</v>
      </c>
      <c r="K85" s="39">
        <v>4421999999</v>
      </c>
      <c r="L85" s="39" t="s">
        <v>148</v>
      </c>
      <c r="M85" s="34">
        <v>908</v>
      </c>
      <c r="N85" s="75">
        <v>8.098</v>
      </c>
      <c r="O85" s="75">
        <f t="shared" si="10"/>
        <v>3887.04</v>
      </c>
    </row>
    <row r="86" s="56" customFormat="1" ht="13.9" customHeight="1" spans="1:15">
      <c r="A86" s="74">
        <f t="shared" ref="A86:A95" si="11">ROW()-14</f>
        <v>72</v>
      </c>
      <c r="B86" s="39">
        <v>8920377</v>
      </c>
      <c r="C86" s="39" t="s">
        <v>149</v>
      </c>
      <c r="D86" s="39">
        <v>1</v>
      </c>
      <c r="E86" s="39">
        <v>600</v>
      </c>
      <c r="F86" s="39">
        <v>600</v>
      </c>
      <c r="G86" s="39" t="s">
        <v>26</v>
      </c>
      <c r="H86" s="75">
        <v>6.5</v>
      </c>
      <c r="I86" s="75">
        <f t="shared" si="9"/>
        <v>6.305</v>
      </c>
      <c r="J86" s="75">
        <v>0.096</v>
      </c>
      <c r="K86" s="39">
        <v>6117801000</v>
      </c>
      <c r="L86" s="39" t="s">
        <v>84</v>
      </c>
      <c r="M86" s="34">
        <v>905</v>
      </c>
      <c r="N86" s="75">
        <v>7.008</v>
      </c>
      <c r="O86" s="75">
        <f t="shared" si="10"/>
        <v>4204.8</v>
      </c>
    </row>
    <row r="87" s="56" customFormat="1" ht="13.9" customHeight="1" spans="1:15">
      <c r="A87" s="74">
        <f t="shared" si="11"/>
        <v>73</v>
      </c>
      <c r="B87" s="39">
        <v>8920378</v>
      </c>
      <c r="C87" s="39" t="s">
        <v>150</v>
      </c>
      <c r="D87" s="39">
        <v>1</v>
      </c>
      <c r="E87" s="39">
        <v>400</v>
      </c>
      <c r="F87" s="39">
        <v>400</v>
      </c>
      <c r="G87" s="39" t="s">
        <v>26</v>
      </c>
      <c r="H87" s="75">
        <v>8.4</v>
      </c>
      <c r="I87" s="75">
        <f t="shared" si="9"/>
        <v>8.148</v>
      </c>
      <c r="J87" s="75">
        <v>0.096</v>
      </c>
      <c r="K87" s="39">
        <v>6117801000</v>
      </c>
      <c r="L87" s="39" t="s">
        <v>84</v>
      </c>
      <c r="M87" s="34">
        <v>905</v>
      </c>
      <c r="N87" s="75">
        <v>7.008</v>
      </c>
      <c r="O87" s="75">
        <f t="shared" si="10"/>
        <v>2803.2</v>
      </c>
    </row>
    <row r="88" s="56" customFormat="1" ht="13.9" customHeight="1" spans="1:15">
      <c r="A88" s="74">
        <f t="shared" si="11"/>
        <v>74</v>
      </c>
      <c r="B88" s="39">
        <v>9059311</v>
      </c>
      <c r="C88" s="39" t="s">
        <v>151</v>
      </c>
      <c r="D88" s="39">
        <v>1</v>
      </c>
      <c r="E88" s="39">
        <v>600</v>
      </c>
      <c r="F88" s="39">
        <v>600</v>
      </c>
      <c r="G88" s="39" t="s">
        <v>26</v>
      </c>
      <c r="H88" s="75">
        <v>15.5</v>
      </c>
      <c r="I88" s="75">
        <f t="shared" si="9"/>
        <v>15.035</v>
      </c>
      <c r="J88" s="75">
        <v>0.12</v>
      </c>
      <c r="K88" s="39">
        <v>6307909899</v>
      </c>
      <c r="L88" s="39" t="s">
        <v>152</v>
      </c>
      <c r="M88" s="34">
        <v>905</v>
      </c>
      <c r="N88" s="75">
        <v>0.1</v>
      </c>
      <c r="O88" s="75">
        <f t="shared" si="10"/>
        <v>60</v>
      </c>
    </row>
    <row r="89" s="56" customFormat="1" ht="13.9" customHeight="1" spans="1:15">
      <c r="A89" s="74">
        <f t="shared" si="11"/>
        <v>75</v>
      </c>
      <c r="B89" s="39">
        <v>9035047</v>
      </c>
      <c r="C89" s="39" t="s">
        <v>153</v>
      </c>
      <c r="D89" s="39">
        <v>5</v>
      </c>
      <c r="E89" s="39">
        <v>50</v>
      </c>
      <c r="F89" s="39">
        <v>250</v>
      </c>
      <c r="G89" s="39" t="s">
        <v>26</v>
      </c>
      <c r="H89" s="75">
        <v>90</v>
      </c>
      <c r="I89" s="75">
        <f t="shared" si="9"/>
        <v>87.3</v>
      </c>
      <c r="J89" s="75">
        <v>0.806</v>
      </c>
      <c r="K89" s="39">
        <v>6307909899</v>
      </c>
      <c r="L89" s="39" t="s">
        <v>154</v>
      </c>
      <c r="M89" s="34">
        <v>903</v>
      </c>
      <c r="N89" s="75">
        <v>20</v>
      </c>
      <c r="O89" s="75">
        <f t="shared" si="10"/>
        <v>5000</v>
      </c>
    </row>
    <row r="90" s="56" customFormat="1" ht="13.9" customHeight="1" spans="1:15">
      <c r="A90" s="74">
        <f t="shared" si="11"/>
        <v>76</v>
      </c>
      <c r="B90" s="39">
        <v>9038556</v>
      </c>
      <c r="C90" s="39" t="s">
        <v>155</v>
      </c>
      <c r="D90" s="39">
        <v>7</v>
      </c>
      <c r="E90" s="39">
        <v>48</v>
      </c>
      <c r="F90" s="39">
        <v>336</v>
      </c>
      <c r="G90" s="39" t="s">
        <v>26</v>
      </c>
      <c r="H90" s="75">
        <v>133</v>
      </c>
      <c r="I90" s="75">
        <f t="shared" si="9"/>
        <v>129.01</v>
      </c>
      <c r="J90" s="75">
        <v>1.6632</v>
      </c>
      <c r="K90" s="39">
        <v>6307901000</v>
      </c>
      <c r="L90" s="39" t="s">
        <v>156</v>
      </c>
      <c r="M90" s="34">
        <v>903</v>
      </c>
      <c r="N90" s="75">
        <v>1.6</v>
      </c>
      <c r="O90" s="75">
        <f t="shared" si="10"/>
        <v>537.6</v>
      </c>
    </row>
    <row r="91" s="56" customFormat="1" ht="13.9" customHeight="1" spans="1:15">
      <c r="A91" s="74">
        <f t="shared" si="11"/>
        <v>77</v>
      </c>
      <c r="B91" s="39">
        <v>9038980</v>
      </c>
      <c r="C91" s="39" t="s">
        <v>157</v>
      </c>
      <c r="D91" s="39">
        <v>4</v>
      </c>
      <c r="E91" s="39">
        <v>96</v>
      </c>
      <c r="F91" s="39">
        <v>384</v>
      </c>
      <c r="G91" s="39" t="s">
        <v>26</v>
      </c>
      <c r="H91" s="75">
        <v>124</v>
      </c>
      <c r="I91" s="75">
        <f t="shared" si="9"/>
        <v>120.28</v>
      </c>
      <c r="J91" s="75">
        <v>1.2138</v>
      </c>
      <c r="K91" s="39">
        <v>6307909899</v>
      </c>
      <c r="L91" s="39" t="s">
        <v>154</v>
      </c>
      <c r="M91" s="34">
        <v>903</v>
      </c>
      <c r="N91" s="75">
        <v>0.02</v>
      </c>
      <c r="O91" s="75">
        <f t="shared" si="10"/>
        <v>7.68</v>
      </c>
    </row>
    <row r="92" s="56" customFormat="1" ht="13.9" customHeight="1" spans="1:15">
      <c r="A92" s="74">
        <f t="shared" si="11"/>
        <v>78</v>
      </c>
      <c r="B92" s="39">
        <v>9005313</v>
      </c>
      <c r="C92" s="39" t="s">
        <v>158</v>
      </c>
      <c r="D92" s="39">
        <v>3</v>
      </c>
      <c r="E92" s="39">
        <v>180</v>
      </c>
      <c r="F92" s="39">
        <v>540</v>
      </c>
      <c r="G92" s="39" t="s">
        <v>26</v>
      </c>
      <c r="H92" s="75">
        <v>35.4</v>
      </c>
      <c r="I92" s="75">
        <f t="shared" si="9"/>
        <v>34.338</v>
      </c>
      <c r="J92" s="75">
        <v>0.36</v>
      </c>
      <c r="K92" s="39">
        <v>5802200000</v>
      </c>
      <c r="L92" s="39" t="s">
        <v>159</v>
      </c>
      <c r="M92" s="34">
        <v>900</v>
      </c>
      <c r="N92" s="75">
        <v>26.742</v>
      </c>
      <c r="O92" s="75">
        <f t="shared" si="10"/>
        <v>14440.68</v>
      </c>
    </row>
    <row r="93" s="56" customFormat="1" ht="13.9" customHeight="1" spans="1:15">
      <c r="A93" s="74">
        <f t="shared" si="11"/>
        <v>79</v>
      </c>
      <c r="B93" s="39">
        <v>9005318</v>
      </c>
      <c r="C93" s="39" t="s">
        <v>160</v>
      </c>
      <c r="D93" s="39">
        <v>4</v>
      </c>
      <c r="E93" s="39">
        <v>120</v>
      </c>
      <c r="F93" s="39">
        <v>480</v>
      </c>
      <c r="G93" s="39" t="s">
        <v>26</v>
      </c>
      <c r="H93" s="75">
        <v>50</v>
      </c>
      <c r="I93" s="75">
        <f t="shared" si="9"/>
        <v>48.5</v>
      </c>
      <c r="J93" s="75">
        <v>0.4</v>
      </c>
      <c r="K93" s="39">
        <v>5802200000</v>
      </c>
      <c r="L93" s="39" t="s">
        <v>159</v>
      </c>
      <c r="M93" s="34">
        <v>900</v>
      </c>
      <c r="N93" s="75">
        <v>26.742</v>
      </c>
      <c r="O93" s="75">
        <f t="shared" si="10"/>
        <v>12836.16</v>
      </c>
    </row>
    <row r="94" s="56" customFormat="1" ht="13.9" customHeight="1" spans="1:15">
      <c r="A94" s="74">
        <f t="shared" si="11"/>
        <v>80</v>
      </c>
      <c r="B94" s="39">
        <v>8950202</v>
      </c>
      <c r="C94" s="39" t="s">
        <v>161</v>
      </c>
      <c r="D94" s="39">
        <v>2</v>
      </c>
      <c r="E94" s="39">
        <v>48</v>
      </c>
      <c r="F94" s="39">
        <v>96</v>
      </c>
      <c r="G94" s="39" t="s">
        <v>26</v>
      </c>
      <c r="H94" s="75">
        <v>29.2</v>
      </c>
      <c r="I94" s="75">
        <f t="shared" si="9"/>
        <v>28.324</v>
      </c>
      <c r="J94" s="75">
        <v>0.0599</v>
      </c>
      <c r="K94" s="39">
        <v>4820200000</v>
      </c>
      <c r="L94" s="39" t="s">
        <v>162</v>
      </c>
      <c r="M94" s="34">
        <v>908</v>
      </c>
      <c r="N94" s="75">
        <v>3.2</v>
      </c>
      <c r="O94" s="75">
        <f t="shared" si="10"/>
        <v>307.2</v>
      </c>
    </row>
    <row r="95" s="56" customFormat="1" ht="13.9" customHeight="1" spans="1:15">
      <c r="A95" s="74">
        <f t="shared" si="11"/>
        <v>81</v>
      </c>
      <c r="B95" s="39">
        <v>8950799</v>
      </c>
      <c r="C95" s="39" t="s">
        <v>163</v>
      </c>
      <c r="D95" s="39">
        <v>10</v>
      </c>
      <c r="E95" s="39">
        <v>48</v>
      </c>
      <c r="F95" s="39">
        <v>480</v>
      </c>
      <c r="G95" s="39" t="s">
        <v>26</v>
      </c>
      <c r="H95" s="75">
        <v>175</v>
      </c>
      <c r="I95" s="75">
        <f t="shared" si="9"/>
        <v>169.75</v>
      </c>
      <c r="J95" s="75">
        <v>0.3653</v>
      </c>
      <c r="K95" s="39">
        <v>4820103000</v>
      </c>
      <c r="L95" s="39" t="s">
        <v>164</v>
      </c>
      <c r="M95" s="34">
        <v>908</v>
      </c>
      <c r="N95" s="75">
        <v>3.2</v>
      </c>
      <c r="O95" s="75">
        <f t="shared" si="10"/>
        <v>1536</v>
      </c>
    </row>
    <row r="96" s="56" customFormat="1" ht="13.9" customHeight="1" spans="1:15">
      <c r="A96" s="74">
        <f t="shared" ref="A96:A105" si="12">ROW()-14</f>
        <v>82</v>
      </c>
      <c r="B96" s="39">
        <v>8950800</v>
      </c>
      <c r="C96" s="39" t="s">
        <v>165</v>
      </c>
      <c r="D96" s="39">
        <v>6</v>
      </c>
      <c r="E96" s="39">
        <v>48</v>
      </c>
      <c r="F96" s="39">
        <v>288</v>
      </c>
      <c r="G96" s="39" t="s">
        <v>26</v>
      </c>
      <c r="H96" s="75">
        <v>91.8</v>
      </c>
      <c r="I96" s="75">
        <f t="shared" si="9"/>
        <v>89.046</v>
      </c>
      <c r="J96" s="75">
        <v>0.15696</v>
      </c>
      <c r="K96" s="39">
        <v>4820200000</v>
      </c>
      <c r="L96" s="39" t="s">
        <v>166</v>
      </c>
      <c r="M96" s="34">
        <v>908</v>
      </c>
      <c r="N96" s="75">
        <v>2</v>
      </c>
      <c r="O96" s="75">
        <f t="shared" si="10"/>
        <v>576</v>
      </c>
    </row>
    <row r="97" s="56" customFormat="1" ht="13.9" customHeight="1" spans="1:15">
      <c r="A97" s="74">
        <f t="shared" si="12"/>
        <v>83</v>
      </c>
      <c r="B97" s="39">
        <v>8950805</v>
      </c>
      <c r="C97" s="39" t="s">
        <v>167</v>
      </c>
      <c r="D97" s="39">
        <v>18</v>
      </c>
      <c r="E97" s="39">
        <v>24</v>
      </c>
      <c r="F97" s="39">
        <v>432</v>
      </c>
      <c r="G97" s="39" t="s">
        <v>26</v>
      </c>
      <c r="H97" s="75">
        <v>327.6</v>
      </c>
      <c r="I97" s="75">
        <f t="shared" si="9"/>
        <v>317.772</v>
      </c>
      <c r="J97" s="75">
        <v>0.99054</v>
      </c>
      <c r="K97" s="39">
        <v>4820103000</v>
      </c>
      <c r="L97" s="39" t="s">
        <v>168</v>
      </c>
      <c r="M97" s="34">
        <v>908</v>
      </c>
      <c r="N97" s="75">
        <v>3.3</v>
      </c>
      <c r="O97" s="75">
        <f t="shared" si="10"/>
        <v>1425.6</v>
      </c>
    </row>
    <row r="98" s="56" customFormat="1" ht="13.9" customHeight="1" spans="1:15">
      <c r="A98" s="74">
        <f t="shared" si="12"/>
        <v>84</v>
      </c>
      <c r="B98" s="39">
        <v>8954414</v>
      </c>
      <c r="C98" s="39" t="s">
        <v>169</v>
      </c>
      <c r="D98" s="39">
        <v>6</v>
      </c>
      <c r="E98" s="39">
        <v>144</v>
      </c>
      <c r="F98" s="39">
        <v>864</v>
      </c>
      <c r="G98" s="39" t="s">
        <v>81</v>
      </c>
      <c r="H98" s="75">
        <v>12</v>
      </c>
      <c r="I98" s="75">
        <f t="shared" si="9"/>
        <v>11.64</v>
      </c>
      <c r="J98" s="75">
        <v>0.12816</v>
      </c>
      <c r="K98" s="39">
        <v>8305900000</v>
      </c>
      <c r="L98" s="39" t="s">
        <v>170</v>
      </c>
      <c r="M98" s="34" t="s">
        <v>171</v>
      </c>
      <c r="N98" s="75">
        <v>2</v>
      </c>
      <c r="O98" s="75">
        <f t="shared" si="10"/>
        <v>1728</v>
      </c>
    </row>
    <row r="99" s="56" customFormat="1" ht="13.9" customHeight="1" spans="1:15">
      <c r="A99" s="74">
        <f t="shared" si="12"/>
        <v>85</v>
      </c>
      <c r="B99" s="39">
        <v>8954418</v>
      </c>
      <c r="C99" s="39" t="s">
        <v>172</v>
      </c>
      <c r="D99" s="39">
        <v>6</v>
      </c>
      <c r="E99" s="39">
        <v>48</v>
      </c>
      <c r="F99" s="39">
        <v>288</v>
      </c>
      <c r="G99" s="39" t="s">
        <v>26</v>
      </c>
      <c r="H99" s="75">
        <v>93</v>
      </c>
      <c r="I99" s="75">
        <f t="shared" si="9"/>
        <v>90.21</v>
      </c>
      <c r="J99" s="75">
        <v>0.16008</v>
      </c>
      <c r="K99" s="39">
        <v>4820200000</v>
      </c>
      <c r="L99" s="39" t="s">
        <v>173</v>
      </c>
      <c r="M99" s="34" t="s">
        <v>171</v>
      </c>
      <c r="N99" s="75">
        <v>3</v>
      </c>
      <c r="O99" s="75">
        <f t="shared" si="10"/>
        <v>864</v>
      </c>
    </row>
    <row r="100" s="56" customFormat="1" ht="13.9" customHeight="1" spans="1:15">
      <c r="A100" s="74">
        <f t="shared" si="12"/>
        <v>86</v>
      </c>
      <c r="B100" s="39">
        <v>9048668</v>
      </c>
      <c r="C100" s="39" t="s">
        <v>174</v>
      </c>
      <c r="D100" s="39">
        <v>11</v>
      </c>
      <c r="E100" s="39">
        <v>120</v>
      </c>
      <c r="F100" s="39">
        <v>1320</v>
      </c>
      <c r="G100" s="39" t="s">
        <v>26</v>
      </c>
      <c r="H100" s="75">
        <v>220</v>
      </c>
      <c r="I100" s="75">
        <f t="shared" si="9"/>
        <v>213.4</v>
      </c>
      <c r="J100" s="75">
        <v>0.65934</v>
      </c>
      <c r="K100" s="39">
        <v>4819400000</v>
      </c>
      <c r="L100" s="39" t="s">
        <v>175</v>
      </c>
      <c r="M100" s="34">
        <v>904</v>
      </c>
      <c r="N100" s="75">
        <v>9.1726</v>
      </c>
      <c r="O100" s="75">
        <f t="shared" si="10"/>
        <v>12107.832</v>
      </c>
    </row>
    <row r="101" s="56" customFormat="1" ht="13.9" customHeight="1" spans="1:15">
      <c r="A101" s="74">
        <f t="shared" si="12"/>
        <v>87</v>
      </c>
      <c r="B101" s="39">
        <v>9048985</v>
      </c>
      <c r="C101" s="39" t="s">
        <v>176</v>
      </c>
      <c r="D101" s="39">
        <v>1</v>
      </c>
      <c r="E101" s="39">
        <v>240</v>
      </c>
      <c r="F101" s="39">
        <v>240</v>
      </c>
      <c r="G101" s="39" t="s">
        <v>26</v>
      </c>
      <c r="H101" s="75">
        <v>12.5</v>
      </c>
      <c r="I101" s="75">
        <f t="shared" si="9"/>
        <v>12.125</v>
      </c>
      <c r="J101" s="75">
        <v>0.0507</v>
      </c>
      <c r="K101" s="39">
        <v>4819400000</v>
      </c>
      <c r="L101" s="39" t="s">
        <v>177</v>
      </c>
      <c r="M101" s="34">
        <v>904</v>
      </c>
      <c r="N101" s="75">
        <v>9.1726</v>
      </c>
      <c r="O101" s="75">
        <f t="shared" si="10"/>
        <v>2201.424</v>
      </c>
    </row>
    <row r="102" s="56" customFormat="1" ht="13.9" customHeight="1" spans="1:15">
      <c r="A102" s="74">
        <f t="shared" si="12"/>
        <v>88</v>
      </c>
      <c r="B102" s="39">
        <v>9048986</v>
      </c>
      <c r="C102" s="39" t="s">
        <v>178</v>
      </c>
      <c r="D102" s="39">
        <v>3</v>
      </c>
      <c r="E102" s="39">
        <v>120</v>
      </c>
      <c r="F102" s="39">
        <v>360</v>
      </c>
      <c r="G102" s="39" t="s">
        <v>26</v>
      </c>
      <c r="H102" s="75">
        <v>36</v>
      </c>
      <c r="I102" s="75">
        <f t="shared" si="9"/>
        <v>34.92</v>
      </c>
      <c r="J102" s="75">
        <v>0.18648</v>
      </c>
      <c r="K102" s="39">
        <v>4819400000</v>
      </c>
      <c r="L102" s="39" t="s">
        <v>177</v>
      </c>
      <c r="M102" s="34">
        <v>904</v>
      </c>
      <c r="N102" s="75">
        <v>9.1726</v>
      </c>
      <c r="O102" s="75">
        <f t="shared" si="10"/>
        <v>3302.136</v>
      </c>
    </row>
    <row r="103" s="56" customFormat="1" ht="13.9" customHeight="1" spans="1:15">
      <c r="A103" s="74">
        <f t="shared" si="12"/>
        <v>89</v>
      </c>
      <c r="B103" s="39">
        <v>9048987</v>
      </c>
      <c r="C103" s="39" t="s">
        <v>179</v>
      </c>
      <c r="D103" s="39">
        <v>1</v>
      </c>
      <c r="E103" s="39">
        <v>240</v>
      </c>
      <c r="F103" s="39">
        <v>240</v>
      </c>
      <c r="G103" s="39" t="s">
        <v>26</v>
      </c>
      <c r="H103" s="75">
        <v>12.5</v>
      </c>
      <c r="I103" s="75">
        <f t="shared" si="9"/>
        <v>12.125</v>
      </c>
      <c r="J103" s="75">
        <v>0.0507</v>
      </c>
      <c r="K103" s="39">
        <v>4819400000</v>
      </c>
      <c r="L103" s="39" t="s">
        <v>177</v>
      </c>
      <c r="M103" s="34">
        <v>904</v>
      </c>
      <c r="N103" s="75">
        <v>9.1726</v>
      </c>
      <c r="O103" s="75">
        <f t="shared" si="10"/>
        <v>2201.424</v>
      </c>
    </row>
    <row r="104" s="56" customFormat="1" ht="13.9" customHeight="1" spans="1:15">
      <c r="A104" s="74">
        <f t="shared" si="12"/>
        <v>90</v>
      </c>
      <c r="B104" s="39">
        <v>9048988</v>
      </c>
      <c r="C104" s="39" t="s">
        <v>180</v>
      </c>
      <c r="D104" s="39">
        <v>1</v>
      </c>
      <c r="E104" s="39">
        <v>120</v>
      </c>
      <c r="F104" s="39">
        <v>120</v>
      </c>
      <c r="G104" s="39" t="s">
        <v>26</v>
      </c>
      <c r="H104" s="75">
        <v>12</v>
      </c>
      <c r="I104" s="75">
        <f t="shared" si="9"/>
        <v>11.64</v>
      </c>
      <c r="J104" s="75">
        <v>0.06216</v>
      </c>
      <c r="K104" s="39">
        <v>4819400000</v>
      </c>
      <c r="L104" s="39" t="s">
        <v>177</v>
      </c>
      <c r="M104" s="34">
        <v>904</v>
      </c>
      <c r="N104" s="75">
        <v>9.1726</v>
      </c>
      <c r="O104" s="75">
        <f t="shared" si="10"/>
        <v>1100.712</v>
      </c>
    </row>
    <row r="105" s="56" customFormat="1" ht="13.9" customHeight="1" spans="1:15">
      <c r="A105" s="74">
        <f t="shared" si="12"/>
        <v>91</v>
      </c>
      <c r="B105" s="39">
        <v>9048989</v>
      </c>
      <c r="C105" s="39" t="s">
        <v>181</v>
      </c>
      <c r="D105" s="39">
        <v>1</v>
      </c>
      <c r="E105" s="39">
        <v>120</v>
      </c>
      <c r="F105" s="39">
        <v>120</v>
      </c>
      <c r="G105" s="39" t="s">
        <v>26</v>
      </c>
      <c r="H105" s="75">
        <v>13</v>
      </c>
      <c r="I105" s="75">
        <f t="shared" si="9"/>
        <v>12.61</v>
      </c>
      <c r="J105" s="75">
        <v>0.0576</v>
      </c>
      <c r="K105" s="39">
        <v>4819400000</v>
      </c>
      <c r="L105" s="39" t="s">
        <v>177</v>
      </c>
      <c r="M105" s="34">
        <v>904</v>
      </c>
      <c r="N105" s="75">
        <v>9.1726</v>
      </c>
      <c r="O105" s="75">
        <f t="shared" si="10"/>
        <v>1100.712</v>
      </c>
    </row>
    <row r="106" s="56" customFormat="1" ht="13.9" customHeight="1" spans="1:15">
      <c r="A106" s="74">
        <f t="shared" ref="A106:A115" si="13">ROW()-14</f>
        <v>92</v>
      </c>
      <c r="B106" s="39">
        <v>9048990</v>
      </c>
      <c r="C106" s="39" t="s">
        <v>182</v>
      </c>
      <c r="D106" s="39">
        <v>3</v>
      </c>
      <c r="E106" s="39">
        <v>120</v>
      </c>
      <c r="F106" s="39">
        <v>360</v>
      </c>
      <c r="G106" s="39" t="s">
        <v>26</v>
      </c>
      <c r="H106" s="75">
        <v>42</v>
      </c>
      <c r="I106" s="75">
        <f t="shared" si="9"/>
        <v>40.74</v>
      </c>
      <c r="J106" s="75">
        <v>0.20493</v>
      </c>
      <c r="K106" s="39">
        <v>4819400000</v>
      </c>
      <c r="L106" s="39" t="s">
        <v>177</v>
      </c>
      <c r="M106" s="34">
        <v>904</v>
      </c>
      <c r="N106" s="75">
        <v>9.1726</v>
      </c>
      <c r="O106" s="75">
        <f t="shared" si="10"/>
        <v>3302.136</v>
      </c>
    </row>
    <row r="107" s="56" customFormat="1" ht="13.9" customHeight="1" spans="1:15">
      <c r="A107" s="74">
        <f t="shared" si="13"/>
        <v>93</v>
      </c>
      <c r="B107" s="39">
        <v>8978146</v>
      </c>
      <c r="C107" s="39" t="s">
        <v>183</v>
      </c>
      <c r="D107" s="39">
        <v>2</v>
      </c>
      <c r="E107" s="39">
        <v>240</v>
      </c>
      <c r="F107" s="39">
        <v>480</v>
      </c>
      <c r="G107" s="39" t="s">
        <v>58</v>
      </c>
      <c r="H107" s="75">
        <v>13.16</v>
      </c>
      <c r="I107" s="75">
        <f t="shared" si="9"/>
        <v>12.7652</v>
      </c>
      <c r="J107" s="75">
        <v>0.24</v>
      </c>
      <c r="K107" s="39">
        <v>6805300000</v>
      </c>
      <c r="L107" s="39" t="s">
        <v>140</v>
      </c>
      <c r="M107" s="34">
        <v>906</v>
      </c>
      <c r="N107" s="75">
        <v>5.558</v>
      </c>
      <c r="O107" s="75">
        <f t="shared" si="10"/>
        <v>2667.84</v>
      </c>
    </row>
    <row r="108" s="56" customFormat="1" ht="13.9" customHeight="1" spans="1:15">
      <c r="A108" s="74">
        <f t="shared" si="13"/>
        <v>94</v>
      </c>
      <c r="B108" s="39">
        <v>8950888</v>
      </c>
      <c r="C108" s="39" t="s">
        <v>184</v>
      </c>
      <c r="D108" s="39">
        <v>1</v>
      </c>
      <c r="E108" s="39">
        <v>300</v>
      </c>
      <c r="F108" s="39">
        <v>300</v>
      </c>
      <c r="G108" s="39" t="s">
        <v>58</v>
      </c>
      <c r="H108" s="75">
        <v>22</v>
      </c>
      <c r="I108" s="75">
        <f t="shared" si="9"/>
        <v>21.34</v>
      </c>
      <c r="J108" s="75">
        <v>0.106</v>
      </c>
      <c r="K108" s="39">
        <v>9608200000</v>
      </c>
      <c r="L108" s="39" t="s">
        <v>185</v>
      </c>
      <c r="M108" s="34">
        <v>908</v>
      </c>
      <c r="N108" s="75">
        <v>12.75</v>
      </c>
      <c r="O108" s="75">
        <f t="shared" si="10"/>
        <v>3825</v>
      </c>
    </row>
    <row r="109" s="56" customFormat="1" ht="13.9" customHeight="1" spans="1:15">
      <c r="A109" s="74">
        <f t="shared" si="13"/>
        <v>95</v>
      </c>
      <c r="B109" s="39">
        <v>8950892</v>
      </c>
      <c r="C109" s="39" t="s">
        <v>186</v>
      </c>
      <c r="D109" s="39">
        <v>5</v>
      </c>
      <c r="E109" s="39">
        <v>270</v>
      </c>
      <c r="F109" s="39">
        <v>1350</v>
      </c>
      <c r="G109" s="39" t="s">
        <v>58</v>
      </c>
      <c r="H109" s="75">
        <v>91.5</v>
      </c>
      <c r="I109" s="75">
        <f t="shared" si="9"/>
        <v>88.755</v>
      </c>
      <c r="J109" s="75">
        <v>0.39</v>
      </c>
      <c r="K109" s="39">
        <v>9608200000</v>
      </c>
      <c r="L109" s="39" t="s">
        <v>187</v>
      </c>
      <c r="M109" s="34">
        <v>908</v>
      </c>
      <c r="N109" s="75">
        <v>10.36</v>
      </c>
      <c r="O109" s="75">
        <f t="shared" si="10"/>
        <v>13986</v>
      </c>
    </row>
    <row r="110" s="56" customFormat="1" ht="13.9" customHeight="1" spans="1:15">
      <c r="A110" s="74">
        <f t="shared" si="13"/>
        <v>96</v>
      </c>
      <c r="B110" s="39">
        <v>8951960</v>
      </c>
      <c r="C110" s="39" t="s">
        <v>188</v>
      </c>
      <c r="D110" s="39">
        <v>2</v>
      </c>
      <c r="E110" s="39">
        <v>320</v>
      </c>
      <c r="F110" s="39">
        <v>640</v>
      </c>
      <c r="G110" s="39" t="s">
        <v>58</v>
      </c>
      <c r="H110" s="75">
        <v>50</v>
      </c>
      <c r="I110" s="75">
        <f t="shared" si="9"/>
        <v>48.5</v>
      </c>
      <c r="J110" s="75">
        <v>0.17</v>
      </c>
      <c r="K110" s="39">
        <v>9608200000</v>
      </c>
      <c r="L110" s="39" t="s">
        <v>187</v>
      </c>
      <c r="M110" s="34">
        <v>908</v>
      </c>
      <c r="N110" s="75">
        <v>16.4</v>
      </c>
      <c r="O110" s="75">
        <f t="shared" si="10"/>
        <v>10496</v>
      </c>
    </row>
    <row r="111" s="56" customFormat="1" ht="13.9" customHeight="1" spans="1:15">
      <c r="A111" s="74">
        <f t="shared" si="13"/>
        <v>97</v>
      </c>
      <c r="B111" s="39">
        <v>8953341</v>
      </c>
      <c r="C111" s="39" t="s">
        <v>189</v>
      </c>
      <c r="D111" s="39">
        <v>1</v>
      </c>
      <c r="E111" s="39">
        <v>300</v>
      </c>
      <c r="F111" s="39">
        <v>300</v>
      </c>
      <c r="G111" s="39" t="s">
        <v>58</v>
      </c>
      <c r="H111" s="75">
        <v>20</v>
      </c>
      <c r="I111" s="75">
        <f t="shared" si="9"/>
        <v>19.4</v>
      </c>
      <c r="J111" s="75">
        <v>0.132</v>
      </c>
      <c r="K111" s="39">
        <v>9608200000</v>
      </c>
      <c r="L111" s="39" t="s">
        <v>190</v>
      </c>
      <c r="M111" s="34">
        <v>908</v>
      </c>
      <c r="N111" s="75">
        <v>12.7</v>
      </c>
      <c r="O111" s="75">
        <f t="shared" si="10"/>
        <v>3810</v>
      </c>
    </row>
    <row r="112" s="56" customFormat="1" ht="13.9" customHeight="1" spans="1:15">
      <c r="A112" s="74">
        <f t="shared" si="13"/>
        <v>98</v>
      </c>
      <c r="B112" s="39">
        <v>9082825</v>
      </c>
      <c r="C112" s="39" t="s">
        <v>191</v>
      </c>
      <c r="D112" s="39">
        <v>1</v>
      </c>
      <c r="E112" s="39">
        <v>240</v>
      </c>
      <c r="F112" s="39">
        <v>240</v>
      </c>
      <c r="G112" s="39" t="s">
        <v>58</v>
      </c>
      <c r="H112" s="75">
        <v>21</v>
      </c>
      <c r="I112" s="75">
        <f t="shared" si="9"/>
        <v>20.37</v>
      </c>
      <c r="J112" s="75">
        <v>0.1576</v>
      </c>
      <c r="K112" s="39">
        <v>9608200000</v>
      </c>
      <c r="L112" s="39" t="s">
        <v>192</v>
      </c>
      <c r="M112" s="34">
        <v>908</v>
      </c>
      <c r="N112" s="75">
        <v>18.82</v>
      </c>
      <c r="O112" s="75">
        <f t="shared" si="10"/>
        <v>4516.8</v>
      </c>
    </row>
    <row r="113" s="56" customFormat="1" ht="13.9" customHeight="1" spans="1:15">
      <c r="A113" s="74">
        <f t="shared" si="13"/>
        <v>99</v>
      </c>
      <c r="B113" s="39">
        <v>8951110</v>
      </c>
      <c r="C113" s="39" t="s">
        <v>193</v>
      </c>
      <c r="D113" s="39">
        <v>3</v>
      </c>
      <c r="E113" s="39">
        <v>200</v>
      </c>
      <c r="F113" s="39">
        <v>600</v>
      </c>
      <c r="G113" s="39" t="s">
        <v>81</v>
      </c>
      <c r="H113" s="75">
        <v>66</v>
      </c>
      <c r="I113" s="75">
        <f t="shared" si="9"/>
        <v>64.02</v>
      </c>
      <c r="J113" s="75">
        <v>0.17994</v>
      </c>
      <c r="K113" s="39">
        <v>4016999790</v>
      </c>
      <c r="L113" s="39" t="s">
        <v>194</v>
      </c>
      <c r="M113" s="34">
        <v>908</v>
      </c>
      <c r="N113" s="75">
        <v>2.6</v>
      </c>
      <c r="O113" s="75">
        <f t="shared" si="10"/>
        <v>1560</v>
      </c>
    </row>
    <row r="114" s="56" customFormat="1" ht="13.9" customHeight="1" spans="1:15">
      <c r="A114" s="74">
        <f t="shared" si="13"/>
        <v>100</v>
      </c>
      <c r="B114" s="39">
        <v>8803489</v>
      </c>
      <c r="C114" s="39" t="s">
        <v>195</v>
      </c>
      <c r="D114" s="39">
        <v>2</v>
      </c>
      <c r="E114" s="39">
        <v>24</v>
      </c>
      <c r="F114" s="39">
        <v>48</v>
      </c>
      <c r="G114" s="39" t="s">
        <v>26</v>
      </c>
      <c r="H114" s="75">
        <v>12.6</v>
      </c>
      <c r="I114" s="75">
        <f t="shared" si="9"/>
        <v>12.222</v>
      </c>
      <c r="J114" s="75">
        <v>0.04262</v>
      </c>
      <c r="K114" s="39">
        <v>7013990090</v>
      </c>
      <c r="L114" s="39" t="s">
        <v>196</v>
      </c>
      <c r="M114" s="34" t="s">
        <v>28</v>
      </c>
      <c r="N114" s="75">
        <v>5.558</v>
      </c>
      <c r="O114" s="75">
        <f t="shared" si="10"/>
        <v>266.784</v>
      </c>
    </row>
    <row r="115" s="56" customFormat="1" ht="13.9" customHeight="1" spans="1:15">
      <c r="A115" s="74">
        <f t="shared" si="13"/>
        <v>101</v>
      </c>
      <c r="B115" s="39">
        <v>9047515</v>
      </c>
      <c r="C115" s="39" t="s">
        <v>197</v>
      </c>
      <c r="D115" s="39">
        <v>3</v>
      </c>
      <c r="E115" s="39">
        <v>12</v>
      </c>
      <c r="F115" s="39">
        <v>36</v>
      </c>
      <c r="G115" s="39" t="s">
        <v>26</v>
      </c>
      <c r="H115" s="75">
        <v>9.3</v>
      </c>
      <c r="I115" s="75">
        <f t="shared" si="9"/>
        <v>9.021</v>
      </c>
      <c r="J115" s="75">
        <v>0.06</v>
      </c>
      <c r="K115" s="39">
        <v>3925901000</v>
      </c>
      <c r="L115" s="39" t="s">
        <v>198</v>
      </c>
      <c r="M115" s="34">
        <v>904</v>
      </c>
      <c r="N115" s="75">
        <v>5</v>
      </c>
      <c r="O115" s="75">
        <f t="shared" si="10"/>
        <v>180</v>
      </c>
    </row>
    <row r="116" s="56" customFormat="1" ht="13.9" customHeight="1" spans="1:15">
      <c r="A116" s="74">
        <f t="shared" ref="A116:A125" si="14">ROW()-14</f>
        <v>102</v>
      </c>
      <c r="B116" s="39">
        <v>9047520</v>
      </c>
      <c r="C116" s="39" t="s">
        <v>199</v>
      </c>
      <c r="D116" s="39">
        <v>3</v>
      </c>
      <c r="E116" s="39">
        <v>48</v>
      </c>
      <c r="F116" s="39">
        <v>144</v>
      </c>
      <c r="G116" s="39" t="s">
        <v>26</v>
      </c>
      <c r="H116" s="75">
        <v>22.5</v>
      </c>
      <c r="I116" s="75">
        <f t="shared" si="9"/>
        <v>21.825</v>
      </c>
      <c r="J116" s="75">
        <v>0.15669</v>
      </c>
      <c r="K116" s="39">
        <v>3926400000</v>
      </c>
      <c r="L116" s="39" t="s">
        <v>200</v>
      </c>
      <c r="M116" s="34">
        <v>904</v>
      </c>
      <c r="N116" s="75">
        <v>2</v>
      </c>
      <c r="O116" s="75">
        <f t="shared" si="10"/>
        <v>288</v>
      </c>
    </row>
    <row r="117" s="56" customFormat="1" ht="13.9" customHeight="1" spans="1:15">
      <c r="A117" s="74">
        <f t="shared" si="14"/>
        <v>103</v>
      </c>
      <c r="B117" s="39">
        <v>8955024</v>
      </c>
      <c r="C117" s="39" t="s">
        <v>201</v>
      </c>
      <c r="D117" s="39">
        <v>2</v>
      </c>
      <c r="E117" s="39">
        <v>720</v>
      </c>
      <c r="F117" s="39">
        <v>1440</v>
      </c>
      <c r="G117" s="39" t="s">
        <v>81</v>
      </c>
      <c r="H117" s="75">
        <v>45.2</v>
      </c>
      <c r="I117" s="75">
        <f t="shared" si="9"/>
        <v>43.844</v>
      </c>
      <c r="J117" s="75">
        <v>0.3712</v>
      </c>
      <c r="K117" s="39">
        <v>4421999999</v>
      </c>
      <c r="L117" s="39" t="s">
        <v>202</v>
      </c>
      <c r="M117" s="34">
        <v>908</v>
      </c>
      <c r="N117" s="75">
        <v>8.098</v>
      </c>
      <c r="O117" s="75">
        <f t="shared" si="10"/>
        <v>11661.12</v>
      </c>
    </row>
    <row r="118" s="56" customFormat="1" ht="13.9" customHeight="1" spans="1:15">
      <c r="A118" s="74">
        <f t="shared" si="14"/>
        <v>104</v>
      </c>
      <c r="B118" s="39">
        <v>8955025</v>
      </c>
      <c r="C118" s="39" t="s">
        <v>203</v>
      </c>
      <c r="D118" s="39">
        <v>2</v>
      </c>
      <c r="E118" s="39">
        <v>720</v>
      </c>
      <c r="F118" s="39">
        <v>1440</v>
      </c>
      <c r="G118" s="39" t="s">
        <v>81</v>
      </c>
      <c r="H118" s="75">
        <v>45.2</v>
      </c>
      <c r="I118" s="75">
        <f t="shared" si="9"/>
        <v>43.844</v>
      </c>
      <c r="J118" s="75">
        <v>0.3712</v>
      </c>
      <c r="K118" s="39">
        <v>4421999999</v>
      </c>
      <c r="L118" s="39" t="s">
        <v>202</v>
      </c>
      <c r="M118" s="34">
        <v>908</v>
      </c>
      <c r="N118" s="75">
        <v>8.098</v>
      </c>
      <c r="O118" s="75">
        <f t="shared" si="10"/>
        <v>11661.12</v>
      </c>
    </row>
    <row r="119" s="56" customFormat="1" ht="13.9" customHeight="1" spans="1:15">
      <c r="A119" s="74">
        <f t="shared" si="14"/>
        <v>105</v>
      </c>
      <c r="B119" s="39">
        <v>9088071</v>
      </c>
      <c r="C119" s="39" t="s">
        <v>204</v>
      </c>
      <c r="D119" s="39">
        <v>2</v>
      </c>
      <c r="E119" s="39">
        <v>360</v>
      </c>
      <c r="F119" s="39">
        <v>720</v>
      </c>
      <c r="G119" s="39" t="s">
        <v>81</v>
      </c>
      <c r="H119" s="75">
        <v>43.2</v>
      </c>
      <c r="I119" s="75">
        <f t="shared" si="9"/>
        <v>41.904</v>
      </c>
      <c r="J119" s="75">
        <v>0.299</v>
      </c>
      <c r="K119" s="39">
        <v>4421999999</v>
      </c>
      <c r="L119" s="39" t="s">
        <v>205</v>
      </c>
      <c r="M119" s="34">
        <v>908</v>
      </c>
      <c r="N119" s="75">
        <v>3</v>
      </c>
      <c r="O119" s="75">
        <f t="shared" si="10"/>
        <v>2160</v>
      </c>
    </row>
    <row r="120" s="56" customFormat="1" ht="13.9" customHeight="1" spans="1:15">
      <c r="A120" s="74">
        <f t="shared" si="14"/>
        <v>106</v>
      </c>
      <c r="B120" s="39">
        <v>8803435</v>
      </c>
      <c r="C120" s="39" t="s">
        <v>206</v>
      </c>
      <c r="D120" s="39">
        <v>2</v>
      </c>
      <c r="E120" s="39">
        <v>24</v>
      </c>
      <c r="F120" s="39">
        <v>48</v>
      </c>
      <c r="G120" s="39" t="s">
        <v>26</v>
      </c>
      <c r="H120" s="75">
        <v>21.6</v>
      </c>
      <c r="I120" s="75">
        <f t="shared" si="9"/>
        <v>20.952</v>
      </c>
      <c r="J120" s="75">
        <v>0.109228</v>
      </c>
      <c r="K120" s="39">
        <v>9610000000</v>
      </c>
      <c r="L120" s="39" t="s">
        <v>207</v>
      </c>
      <c r="M120" s="34">
        <v>908</v>
      </c>
      <c r="N120" s="75">
        <v>5</v>
      </c>
      <c r="O120" s="75">
        <f t="shared" si="10"/>
        <v>240</v>
      </c>
    </row>
    <row r="121" s="56" customFormat="1" ht="13.9" customHeight="1" spans="1:15">
      <c r="A121" s="74">
        <f t="shared" si="14"/>
        <v>107</v>
      </c>
      <c r="B121" s="39">
        <v>8803436</v>
      </c>
      <c r="C121" s="39" t="s">
        <v>208</v>
      </c>
      <c r="D121" s="39">
        <v>2</v>
      </c>
      <c r="E121" s="39">
        <v>15</v>
      </c>
      <c r="F121" s="39">
        <v>30</v>
      </c>
      <c r="G121" s="39" t="s">
        <v>26</v>
      </c>
      <c r="H121" s="75">
        <v>17.4</v>
      </c>
      <c r="I121" s="75">
        <f t="shared" si="9"/>
        <v>16.878</v>
      </c>
      <c r="J121" s="75">
        <v>0.0917</v>
      </c>
      <c r="K121" s="39">
        <v>9610000000</v>
      </c>
      <c r="L121" s="39" t="s">
        <v>209</v>
      </c>
      <c r="M121" s="34">
        <v>908</v>
      </c>
      <c r="N121" s="75">
        <v>6.5</v>
      </c>
      <c r="O121" s="75">
        <f t="shared" si="10"/>
        <v>195</v>
      </c>
    </row>
    <row r="122" s="56" customFormat="1" ht="13.9" customHeight="1" spans="1:15">
      <c r="A122" s="74">
        <f t="shared" si="14"/>
        <v>108</v>
      </c>
      <c r="B122" s="39">
        <v>8950656</v>
      </c>
      <c r="C122" s="39" t="s">
        <v>210</v>
      </c>
      <c r="D122" s="39">
        <v>6</v>
      </c>
      <c r="E122" s="39">
        <v>12</v>
      </c>
      <c r="F122" s="39">
        <v>72</v>
      </c>
      <c r="G122" s="39" t="s">
        <v>26</v>
      </c>
      <c r="H122" s="75">
        <v>78</v>
      </c>
      <c r="I122" s="75">
        <f t="shared" si="9"/>
        <v>75.66</v>
      </c>
      <c r="J122" s="75">
        <v>0.42636</v>
      </c>
      <c r="K122" s="39">
        <v>9610000000</v>
      </c>
      <c r="L122" s="39" t="s">
        <v>211</v>
      </c>
      <c r="M122" s="34">
        <v>908</v>
      </c>
      <c r="N122" s="75">
        <v>6.7</v>
      </c>
      <c r="O122" s="75">
        <f t="shared" si="10"/>
        <v>482.4</v>
      </c>
    </row>
    <row r="123" s="56" customFormat="1" ht="13.9" customHeight="1" spans="1:15">
      <c r="A123" s="74">
        <f t="shared" si="14"/>
        <v>109</v>
      </c>
      <c r="B123" s="39">
        <v>8953175</v>
      </c>
      <c r="C123" s="39" t="s">
        <v>212</v>
      </c>
      <c r="D123" s="39">
        <v>7</v>
      </c>
      <c r="E123" s="39">
        <v>48</v>
      </c>
      <c r="F123" s="39">
        <v>336</v>
      </c>
      <c r="G123" s="39" t="s">
        <v>26</v>
      </c>
      <c r="H123" s="75">
        <v>95.9</v>
      </c>
      <c r="I123" s="75">
        <f t="shared" si="9"/>
        <v>93.023</v>
      </c>
      <c r="J123" s="75">
        <v>0.45472</v>
      </c>
      <c r="K123" s="39">
        <v>9610000000</v>
      </c>
      <c r="L123" s="39" t="s">
        <v>213</v>
      </c>
      <c r="M123" s="34">
        <v>908</v>
      </c>
      <c r="N123" s="75">
        <v>4.8</v>
      </c>
      <c r="O123" s="75">
        <f t="shared" si="10"/>
        <v>1612.8</v>
      </c>
    </row>
    <row r="124" s="56" customFormat="1" ht="13.9" customHeight="1" spans="1:15">
      <c r="A124" s="74">
        <f t="shared" si="14"/>
        <v>110</v>
      </c>
      <c r="B124" s="39">
        <v>8953176</v>
      </c>
      <c r="C124" s="39" t="s">
        <v>214</v>
      </c>
      <c r="D124" s="39">
        <v>3</v>
      </c>
      <c r="E124" s="39">
        <v>48</v>
      </c>
      <c r="F124" s="39">
        <v>144</v>
      </c>
      <c r="G124" s="39" t="s">
        <v>26</v>
      </c>
      <c r="H124" s="75">
        <v>43.5</v>
      </c>
      <c r="I124" s="75">
        <f t="shared" si="9"/>
        <v>42.195</v>
      </c>
      <c r="J124" s="75">
        <v>0.225</v>
      </c>
      <c r="K124" s="39">
        <v>9610000000</v>
      </c>
      <c r="L124" s="39" t="s">
        <v>213</v>
      </c>
      <c r="M124" s="34">
        <v>908</v>
      </c>
      <c r="N124" s="75">
        <v>5.8</v>
      </c>
      <c r="O124" s="75">
        <f t="shared" si="10"/>
        <v>835.2</v>
      </c>
    </row>
    <row r="125" s="56" customFormat="1" ht="13.9" customHeight="1" spans="1:15">
      <c r="A125" s="74">
        <f t="shared" si="14"/>
        <v>111</v>
      </c>
      <c r="B125" s="39">
        <v>9089405</v>
      </c>
      <c r="C125" s="39" t="s">
        <v>215</v>
      </c>
      <c r="D125" s="39">
        <v>7</v>
      </c>
      <c r="E125" s="39">
        <v>36</v>
      </c>
      <c r="F125" s="39">
        <v>252</v>
      </c>
      <c r="G125" s="39" t="s">
        <v>26</v>
      </c>
      <c r="H125" s="75">
        <v>126</v>
      </c>
      <c r="I125" s="75">
        <f t="shared" si="9"/>
        <v>122.22</v>
      </c>
      <c r="J125" s="75">
        <v>0.63203</v>
      </c>
      <c r="K125" s="39">
        <v>9610000000</v>
      </c>
      <c r="L125" s="39" t="s">
        <v>213</v>
      </c>
      <c r="M125" s="34">
        <v>908</v>
      </c>
      <c r="N125" s="75">
        <v>7.7</v>
      </c>
      <c r="O125" s="75">
        <f t="shared" si="10"/>
        <v>1940.4</v>
      </c>
    </row>
    <row r="126" s="56" customFormat="1" ht="13.9" customHeight="1" spans="1:15">
      <c r="A126" s="74">
        <f t="shared" ref="A126:A135" si="15">ROW()-14</f>
        <v>112</v>
      </c>
      <c r="B126" s="39">
        <v>8802234</v>
      </c>
      <c r="C126" s="39" t="s">
        <v>216</v>
      </c>
      <c r="D126" s="39">
        <v>3</v>
      </c>
      <c r="E126" s="39">
        <v>64</v>
      </c>
      <c r="F126" s="39">
        <v>192</v>
      </c>
      <c r="G126" s="39" t="s">
        <v>81</v>
      </c>
      <c r="H126" s="75">
        <v>64.5</v>
      </c>
      <c r="I126" s="75">
        <f t="shared" si="9"/>
        <v>62.565</v>
      </c>
      <c r="J126" s="75">
        <v>0.1755</v>
      </c>
      <c r="K126" s="39">
        <v>9013800000</v>
      </c>
      <c r="L126" s="39" t="s">
        <v>74</v>
      </c>
      <c r="M126" s="34">
        <v>906</v>
      </c>
      <c r="N126" s="75">
        <v>6</v>
      </c>
      <c r="O126" s="75">
        <f t="shared" si="10"/>
        <v>1152</v>
      </c>
    </row>
    <row r="127" s="56" customFormat="1" ht="13.9" customHeight="1" spans="1:15">
      <c r="A127" s="74">
        <f t="shared" si="15"/>
        <v>113</v>
      </c>
      <c r="B127" s="39">
        <v>8802235</v>
      </c>
      <c r="C127" s="39" t="s">
        <v>217</v>
      </c>
      <c r="D127" s="39">
        <v>1</v>
      </c>
      <c r="E127" s="39">
        <v>60</v>
      </c>
      <c r="F127" s="39">
        <v>60</v>
      </c>
      <c r="G127" s="39" t="s">
        <v>81</v>
      </c>
      <c r="H127" s="75">
        <v>18</v>
      </c>
      <c r="I127" s="75">
        <f t="shared" si="9"/>
        <v>17.46</v>
      </c>
      <c r="J127" s="75">
        <v>0.1165</v>
      </c>
      <c r="K127" s="39">
        <v>4202929890</v>
      </c>
      <c r="L127" s="39" t="s">
        <v>218</v>
      </c>
      <c r="M127" s="34">
        <v>906</v>
      </c>
      <c r="N127" s="75">
        <v>1.8</v>
      </c>
      <c r="O127" s="75">
        <f t="shared" si="10"/>
        <v>108</v>
      </c>
    </row>
    <row r="128" s="56" customFormat="1" ht="13.9" customHeight="1" spans="1:15">
      <c r="A128" s="74">
        <f t="shared" si="15"/>
        <v>114</v>
      </c>
      <c r="B128" s="39">
        <v>8973072</v>
      </c>
      <c r="C128" s="39" t="s">
        <v>219</v>
      </c>
      <c r="D128" s="39">
        <v>4</v>
      </c>
      <c r="E128" s="39">
        <v>120</v>
      </c>
      <c r="F128" s="39">
        <v>480</v>
      </c>
      <c r="G128" s="39" t="s">
        <v>220</v>
      </c>
      <c r="H128" s="75">
        <v>105.6</v>
      </c>
      <c r="I128" s="75">
        <f t="shared" si="9"/>
        <v>102.432</v>
      </c>
      <c r="J128" s="75">
        <v>0.4392</v>
      </c>
      <c r="K128" s="39">
        <v>3919108090</v>
      </c>
      <c r="L128" s="39" t="s">
        <v>221</v>
      </c>
      <c r="M128" s="34">
        <v>906</v>
      </c>
      <c r="N128" s="75">
        <v>3.34</v>
      </c>
      <c r="O128" s="75">
        <f t="shared" si="10"/>
        <v>1603.2</v>
      </c>
    </row>
    <row r="129" s="56" customFormat="1" ht="13.9" customHeight="1" spans="1:15">
      <c r="A129" s="74">
        <f t="shared" si="15"/>
        <v>115</v>
      </c>
      <c r="B129" s="39">
        <v>8973091</v>
      </c>
      <c r="C129" s="39" t="s">
        <v>222</v>
      </c>
      <c r="D129" s="39">
        <v>1</v>
      </c>
      <c r="E129" s="39">
        <v>40</v>
      </c>
      <c r="F129" s="39">
        <v>40</v>
      </c>
      <c r="G129" s="39" t="s">
        <v>81</v>
      </c>
      <c r="H129" s="75">
        <v>28.5</v>
      </c>
      <c r="I129" s="75">
        <f t="shared" si="9"/>
        <v>27.645</v>
      </c>
      <c r="J129" s="75">
        <v>0.167</v>
      </c>
      <c r="K129" s="39">
        <v>9506919000</v>
      </c>
      <c r="L129" s="39" t="s">
        <v>223</v>
      </c>
      <c r="M129" s="34">
        <v>906</v>
      </c>
      <c r="N129" s="75">
        <v>5.558</v>
      </c>
      <c r="O129" s="75">
        <f t="shared" si="10"/>
        <v>222.32</v>
      </c>
    </row>
    <row r="130" s="56" customFormat="1" ht="13.9" customHeight="1" spans="1:15">
      <c r="A130" s="74">
        <f t="shared" si="15"/>
        <v>116</v>
      </c>
      <c r="B130" s="39">
        <v>8973115</v>
      </c>
      <c r="C130" s="39" t="s">
        <v>224</v>
      </c>
      <c r="D130" s="39">
        <v>6</v>
      </c>
      <c r="E130" s="39">
        <v>12</v>
      </c>
      <c r="F130" s="39">
        <v>72</v>
      </c>
      <c r="G130" s="39" t="s">
        <v>81</v>
      </c>
      <c r="H130" s="75">
        <v>72</v>
      </c>
      <c r="I130" s="75">
        <f t="shared" si="9"/>
        <v>69.84</v>
      </c>
      <c r="J130" s="75">
        <v>0.834</v>
      </c>
      <c r="K130" s="39">
        <v>3924900090</v>
      </c>
      <c r="L130" s="39" t="s">
        <v>198</v>
      </c>
      <c r="M130" s="34">
        <v>906</v>
      </c>
      <c r="N130" s="75">
        <v>22</v>
      </c>
      <c r="O130" s="75">
        <f t="shared" si="10"/>
        <v>1584</v>
      </c>
    </row>
    <row r="131" s="56" customFormat="1" ht="13.9" customHeight="1" spans="1:15">
      <c r="A131" s="74">
        <f t="shared" si="15"/>
        <v>117</v>
      </c>
      <c r="B131" s="39">
        <v>8974528</v>
      </c>
      <c r="C131" s="39" t="s">
        <v>225</v>
      </c>
      <c r="D131" s="39">
        <v>9</v>
      </c>
      <c r="E131" s="39">
        <v>60</v>
      </c>
      <c r="F131" s="39">
        <v>540</v>
      </c>
      <c r="G131" s="39" t="s">
        <v>81</v>
      </c>
      <c r="H131" s="75">
        <v>111.6</v>
      </c>
      <c r="I131" s="75">
        <f t="shared" si="9"/>
        <v>108.252</v>
      </c>
      <c r="J131" s="75">
        <v>0.531</v>
      </c>
      <c r="K131" s="39">
        <v>9603909100</v>
      </c>
      <c r="L131" s="39" t="s">
        <v>74</v>
      </c>
      <c r="M131" s="34">
        <v>906</v>
      </c>
      <c r="N131" s="75">
        <v>7</v>
      </c>
      <c r="O131" s="75">
        <f t="shared" si="10"/>
        <v>3780</v>
      </c>
    </row>
    <row r="132" s="56" customFormat="1" ht="13.9" customHeight="1" spans="1:15">
      <c r="A132" s="74">
        <f t="shared" si="15"/>
        <v>118</v>
      </c>
      <c r="B132" s="39">
        <v>8974750</v>
      </c>
      <c r="C132" s="39" t="s">
        <v>226</v>
      </c>
      <c r="D132" s="39">
        <v>33</v>
      </c>
      <c r="E132" s="39">
        <v>48</v>
      </c>
      <c r="F132" s="39">
        <v>1584</v>
      </c>
      <c r="G132" s="39" t="s">
        <v>26</v>
      </c>
      <c r="H132" s="75">
        <v>217.8</v>
      </c>
      <c r="I132" s="75">
        <f t="shared" si="9"/>
        <v>211.266</v>
      </c>
      <c r="J132" s="75">
        <v>2.93073</v>
      </c>
      <c r="K132" s="39">
        <v>8479899790</v>
      </c>
      <c r="L132" s="39" t="s">
        <v>74</v>
      </c>
      <c r="M132" s="34">
        <v>906</v>
      </c>
      <c r="N132" s="75">
        <v>4.5</v>
      </c>
      <c r="O132" s="75">
        <f t="shared" si="10"/>
        <v>7128</v>
      </c>
    </row>
    <row r="133" s="56" customFormat="1" ht="13.9" customHeight="1" spans="1:15">
      <c r="A133" s="74">
        <f t="shared" si="15"/>
        <v>119</v>
      </c>
      <c r="B133" s="39">
        <v>8974755</v>
      </c>
      <c r="C133" s="39" t="s">
        <v>227</v>
      </c>
      <c r="D133" s="39">
        <v>6</v>
      </c>
      <c r="E133" s="39">
        <v>24</v>
      </c>
      <c r="F133" s="39">
        <v>144</v>
      </c>
      <c r="G133" s="39" t="s">
        <v>81</v>
      </c>
      <c r="H133" s="75">
        <v>70.8</v>
      </c>
      <c r="I133" s="75">
        <f t="shared" si="9"/>
        <v>68.676</v>
      </c>
      <c r="J133" s="75">
        <v>0.5172</v>
      </c>
      <c r="K133" s="39">
        <v>9506919000</v>
      </c>
      <c r="L133" s="39" t="s">
        <v>228</v>
      </c>
      <c r="M133" s="34">
        <v>906</v>
      </c>
      <c r="N133" s="75">
        <v>3.5</v>
      </c>
      <c r="O133" s="75">
        <f t="shared" si="10"/>
        <v>504</v>
      </c>
    </row>
    <row r="134" s="56" customFormat="1" ht="13.9" customHeight="1" spans="1:15">
      <c r="A134" s="74">
        <f t="shared" si="15"/>
        <v>120</v>
      </c>
      <c r="B134" s="39">
        <v>8975340</v>
      </c>
      <c r="C134" s="39" t="s">
        <v>229</v>
      </c>
      <c r="D134" s="39">
        <v>1</v>
      </c>
      <c r="E134" s="39">
        <v>120</v>
      </c>
      <c r="F134" s="39">
        <v>120</v>
      </c>
      <c r="G134" s="39" t="s">
        <v>220</v>
      </c>
      <c r="H134" s="75">
        <v>12.6</v>
      </c>
      <c r="I134" s="75">
        <f t="shared" si="9"/>
        <v>12.222</v>
      </c>
      <c r="J134" s="75">
        <v>0.053</v>
      </c>
      <c r="K134" s="39">
        <v>3919908099</v>
      </c>
      <c r="L134" s="39" t="s">
        <v>230</v>
      </c>
      <c r="M134" s="34">
        <v>906</v>
      </c>
      <c r="N134" s="75">
        <v>2.4</v>
      </c>
      <c r="O134" s="75">
        <f t="shared" si="10"/>
        <v>288</v>
      </c>
    </row>
    <row r="135" s="56" customFormat="1" ht="13.9" customHeight="1" spans="1:15">
      <c r="A135" s="74">
        <f t="shared" si="15"/>
        <v>121</v>
      </c>
      <c r="B135" s="39">
        <v>8976236</v>
      </c>
      <c r="C135" s="39" t="s">
        <v>231</v>
      </c>
      <c r="D135" s="39">
        <v>2</v>
      </c>
      <c r="E135" s="39">
        <v>80</v>
      </c>
      <c r="F135" s="39">
        <v>160</v>
      </c>
      <c r="G135" s="39" t="s">
        <v>26</v>
      </c>
      <c r="H135" s="75">
        <v>15.2</v>
      </c>
      <c r="I135" s="75">
        <f t="shared" si="9"/>
        <v>14.744</v>
      </c>
      <c r="J135" s="75">
        <v>0.1494</v>
      </c>
      <c r="K135" s="39">
        <v>7615108090</v>
      </c>
      <c r="L135" s="39" t="s">
        <v>232</v>
      </c>
      <c r="M135" s="34">
        <v>906</v>
      </c>
      <c r="N135" s="75">
        <v>17</v>
      </c>
      <c r="O135" s="75">
        <f t="shared" si="10"/>
        <v>2720</v>
      </c>
    </row>
    <row r="136" s="56" customFormat="1" ht="13.9" customHeight="1" spans="1:15">
      <c r="A136" s="74">
        <f t="shared" ref="A136:A145" si="16">ROW()-14</f>
        <v>122</v>
      </c>
      <c r="B136" s="39">
        <v>8976237</v>
      </c>
      <c r="C136" s="39" t="s">
        <v>233</v>
      </c>
      <c r="D136" s="39">
        <v>4</v>
      </c>
      <c r="E136" s="39">
        <v>80</v>
      </c>
      <c r="F136" s="39">
        <v>320</v>
      </c>
      <c r="G136" s="39" t="s">
        <v>26</v>
      </c>
      <c r="H136" s="75">
        <v>33.2</v>
      </c>
      <c r="I136" s="75">
        <f t="shared" si="9"/>
        <v>32.204</v>
      </c>
      <c r="J136" s="75">
        <v>0.2988</v>
      </c>
      <c r="K136" s="39">
        <v>7615108090</v>
      </c>
      <c r="L136" s="39" t="s">
        <v>232</v>
      </c>
      <c r="M136" s="34">
        <v>906</v>
      </c>
      <c r="N136" s="75">
        <v>17</v>
      </c>
      <c r="O136" s="75">
        <f t="shared" si="10"/>
        <v>5440</v>
      </c>
    </row>
    <row r="137" s="56" customFormat="1" ht="13.9" customHeight="1" spans="1:15">
      <c r="A137" s="74">
        <f t="shared" si="16"/>
        <v>123</v>
      </c>
      <c r="B137" s="39">
        <v>8976609</v>
      </c>
      <c r="C137" s="39" t="s">
        <v>234</v>
      </c>
      <c r="D137" s="39">
        <v>1</v>
      </c>
      <c r="E137" s="39">
        <v>200</v>
      </c>
      <c r="F137" s="39">
        <v>200</v>
      </c>
      <c r="G137" s="39" t="s">
        <v>81</v>
      </c>
      <c r="H137" s="75">
        <v>17.4</v>
      </c>
      <c r="I137" s="75">
        <f t="shared" si="9"/>
        <v>16.878</v>
      </c>
      <c r="J137" s="75">
        <v>0.1404</v>
      </c>
      <c r="K137" s="39">
        <v>3924100090</v>
      </c>
      <c r="L137" s="39" t="s">
        <v>235</v>
      </c>
      <c r="M137" s="34">
        <v>906</v>
      </c>
      <c r="N137" s="75">
        <v>0.7</v>
      </c>
      <c r="O137" s="75">
        <f t="shared" si="10"/>
        <v>140</v>
      </c>
    </row>
    <row r="138" s="56" customFormat="1" ht="13.9" customHeight="1" spans="1:15">
      <c r="A138" s="74">
        <f t="shared" si="16"/>
        <v>124</v>
      </c>
      <c r="B138" s="39">
        <v>8976936</v>
      </c>
      <c r="C138" s="39" t="s">
        <v>236</v>
      </c>
      <c r="D138" s="39">
        <v>1</v>
      </c>
      <c r="E138" s="39">
        <v>72</v>
      </c>
      <c r="F138" s="39">
        <v>72</v>
      </c>
      <c r="G138" s="39" t="s">
        <v>81</v>
      </c>
      <c r="H138" s="75">
        <v>13.6</v>
      </c>
      <c r="I138" s="75">
        <f t="shared" si="9"/>
        <v>13.192</v>
      </c>
      <c r="J138" s="75">
        <v>0.17875</v>
      </c>
      <c r="K138" s="39">
        <v>3923109090</v>
      </c>
      <c r="L138" s="39" t="s">
        <v>74</v>
      </c>
      <c r="M138" s="34">
        <v>906</v>
      </c>
      <c r="N138" s="75">
        <v>13</v>
      </c>
      <c r="O138" s="75">
        <f t="shared" si="10"/>
        <v>936</v>
      </c>
    </row>
    <row r="139" s="56" customFormat="1" ht="13.9" customHeight="1" spans="1:15">
      <c r="A139" s="74">
        <f t="shared" si="16"/>
        <v>125</v>
      </c>
      <c r="B139" s="39">
        <v>8976941</v>
      </c>
      <c r="C139" s="39" t="s">
        <v>237</v>
      </c>
      <c r="D139" s="39">
        <v>2</v>
      </c>
      <c r="E139" s="39">
        <v>60</v>
      </c>
      <c r="F139" s="39">
        <v>120</v>
      </c>
      <c r="G139" s="39" t="s">
        <v>81</v>
      </c>
      <c r="H139" s="75">
        <v>33.6</v>
      </c>
      <c r="I139" s="75">
        <f t="shared" si="9"/>
        <v>32.592</v>
      </c>
      <c r="J139" s="75">
        <v>0.122</v>
      </c>
      <c r="K139" s="39">
        <v>3924900090</v>
      </c>
      <c r="L139" s="39" t="s">
        <v>74</v>
      </c>
      <c r="M139" s="34">
        <v>906</v>
      </c>
      <c r="N139" s="75">
        <v>1.3</v>
      </c>
      <c r="O139" s="75">
        <f t="shared" si="10"/>
        <v>156</v>
      </c>
    </row>
    <row r="140" s="56" customFormat="1" ht="13.9" customHeight="1" spans="1:15">
      <c r="A140" s="74">
        <f t="shared" si="16"/>
        <v>126</v>
      </c>
      <c r="B140" s="39">
        <v>8976942</v>
      </c>
      <c r="C140" s="39" t="s">
        <v>238</v>
      </c>
      <c r="D140" s="39">
        <v>4</v>
      </c>
      <c r="E140" s="39">
        <v>60</v>
      </c>
      <c r="F140" s="39">
        <v>240</v>
      </c>
      <c r="G140" s="39" t="s">
        <v>220</v>
      </c>
      <c r="H140" s="75">
        <v>90</v>
      </c>
      <c r="I140" s="75">
        <f t="shared" si="9"/>
        <v>87.3</v>
      </c>
      <c r="J140" s="75">
        <v>0.296</v>
      </c>
      <c r="K140" s="39">
        <v>3919108090</v>
      </c>
      <c r="L140" s="39" t="s">
        <v>221</v>
      </c>
      <c r="M140" s="34">
        <v>906</v>
      </c>
      <c r="N140" s="75">
        <v>1.5</v>
      </c>
      <c r="O140" s="75">
        <f t="shared" si="10"/>
        <v>360</v>
      </c>
    </row>
    <row r="141" s="56" customFormat="1" ht="13.9" customHeight="1" spans="1:15">
      <c r="A141" s="74">
        <f t="shared" si="16"/>
        <v>127</v>
      </c>
      <c r="B141" s="39">
        <v>8976943</v>
      </c>
      <c r="C141" s="39" t="s">
        <v>239</v>
      </c>
      <c r="D141" s="39">
        <v>1</v>
      </c>
      <c r="E141" s="39">
        <v>60</v>
      </c>
      <c r="F141" s="39">
        <v>60</v>
      </c>
      <c r="G141" s="39" t="s">
        <v>81</v>
      </c>
      <c r="H141" s="75">
        <v>24.9</v>
      </c>
      <c r="I141" s="75">
        <f t="shared" si="9"/>
        <v>24.153</v>
      </c>
      <c r="J141" s="75">
        <v>0.169</v>
      </c>
      <c r="K141" s="39">
        <v>3924900090</v>
      </c>
      <c r="L141" s="39" t="s">
        <v>240</v>
      </c>
      <c r="M141" s="34">
        <v>906</v>
      </c>
      <c r="N141" s="75">
        <v>5.558</v>
      </c>
      <c r="O141" s="75">
        <f t="shared" si="10"/>
        <v>333.48</v>
      </c>
    </row>
    <row r="142" s="56" customFormat="1" ht="13.9" customHeight="1" spans="1:15">
      <c r="A142" s="74">
        <f t="shared" si="16"/>
        <v>128</v>
      </c>
      <c r="B142" s="39">
        <v>8976955</v>
      </c>
      <c r="C142" s="39" t="s">
        <v>241</v>
      </c>
      <c r="D142" s="39">
        <v>1</v>
      </c>
      <c r="E142" s="39">
        <v>20</v>
      </c>
      <c r="F142" s="39">
        <v>20</v>
      </c>
      <c r="G142" s="39" t="s">
        <v>26</v>
      </c>
      <c r="H142" s="75">
        <v>16.2</v>
      </c>
      <c r="I142" s="75">
        <f t="shared" si="9"/>
        <v>15.714</v>
      </c>
      <c r="J142" s="75">
        <v>0.1536</v>
      </c>
      <c r="K142" s="39">
        <v>9603909100</v>
      </c>
      <c r="L142" s="39" t="s">
        <v>242</v>
      </c>
      <c r="M142" s="34">
        <v>906</v>
      </c>
      <c r="N142" s="75">
        <v>5.558</v>
      </c>
      <c r="O142" s="75">
        <f t="shared" si="10"/>
        <v>111.16</v>
      </c>
    </row>
    <row r="143" s="56" customFormat="1" ht="13.9" customHeight="1" spans="1:15">
      <c r="A143" s="74">
        <f t="shared" si="16"/>
        <v>129</v>
      </c>
      <c r="B143" s="39">
        <v>8977007</v>
      </c>
      <c r="C143" s="39" t="s">
        <v>243</v>
      </c>
      <c r="D143" s="39">
        <v>11</v>
      </c>
      <c r="E143" s="39">
        <v>6</v>
      </c>
      <c r="F143" s="39">
        <v>66</v>
      </c>
      <c r="G143" s="39" t="s">
        <v>26</v>
      </c>
      <c r="H143" s="75">
        <v>48.4</v>
      </c>
      <c r="I143" s="75">
        <f t="shared" si="9"/>
        <v>46.948</v>
      </c>
      <c r="J143" s="75">
        <v>0.55</v>
      </c>
      <c r="K143" s="39">
        <v>9603909900</v>
      </c>
      <c r="L143" s="39" t="s">
        <v>244</v>
      </c>
      <c r="M143" s="34">
        <v>906</v>
      </c>
      <c r="N143" s="75">
        <v>6</v>
      </c>
      <c r="O143" s="75">
        <f t="shared" si="10"/>
        <v>396</v>
      </c>
    </row>
    <row r="144" s="56" customFormat="1" ht="13.9" customHeight="1" spans="1:15">
      <c r="A144" s="74">
        <f t="shared" si="16"/>
        <v>130</v>
      </c>
      <c r="B144" s="39">
        <v>8977954</v>
      </c>
      <c r="C144" s="39" t="s">
        <v>245</v>
      </c>
      <c r="D144" s="39">
        <v>1</v>
      </c>
      <c r="E144" s="39">
        <v>24</v>
      </c>
      <c r="F144" s="39">
        <v>24</v>
      </c>
      <c r="G144" s="39" t="s">
        <v>81</v>
      </c>
      <c r="H144" s="75">
        <v>13.5</v>
      </c>
      <c r="I144" s="75">
        <f t="shared" ref="I144:I207" si="17">H144*0.97</f>
        <v>13.095</v>
      </c>
      <c r="J144" s="75">
        <v>0.10762</v>
      </c>
      <c r="K144" s="39">
        <v>3924900090</v>
      </c>
      <c r="L144" s="39" t="s">
        <v>246</v>
      </c>
      <c r="M144" s="34">
        <v>906</v>
      </c>
      <c r="N144" s="75">
        <v>5.558</v>
      </c>
      <c r="O144" s="75">
        <f t="shared" ref="O144:O207" si="18">N144*F144</f>
        <v>133.392</v>
      </c>
    </row>
    <row r="145" s="56" customFormat="1" ht="13.9" customHeight="1" spans="1:15">
      <c r="A145" s="74">
        <f t="shared" si="16"/>
        <v>131</v>
      </c>
      <c r="B145" s="39">
        <v>8977956</v>
      </c>
      <c r="C145" s="39" t="s">
        <v>247</v>
      </c>
      <c r="D145" s="39">
        <v>2</v>
      </c>
      <c r="E145" s="39">
        <v>60</v>
      </c>
      <c r="F145" s="39">
        <v>120</v>
      </c>
      <c r="G145" s="39" t="s">
        <v>81</v>
      </c>
      <c r="H145" s="75">
        <v>40.4</v>
      </c>
      <c r="I145" s="75">
        <f t="shared" si="17"/>
        <v>39.188</v>
      </c>
      <c r="J145" s="75">
        <v>0.38738</v>
      </c>
      <c r="K145" s="39">
        <v>9404909000</v>
      </c>
      <c r="L145" s="39" t="s">
        <v>248</v>
      </c>
      <c r="M145" s="34">
        <v>906</v>
      </c>
      <c r="N145" s="75">
        <v>5.558</v>
      </c>
      <c r="O145" s="75">
        <f t="shared" si="18"/>
        <v>666.96</v>
      </c>
    </row>
    <row r="146" s="56" customFormat="1" ht="13.9" customHeight="1" spans="1:15">
      <c r="A146" s="74">
        <f t="shared" ref="A146:A155" si="19">ROW()-14</f>
        <v>132</v>
      </c>
      <c r="B146" s="39">
        <v>8978262</v>
      </c>
      <c r="C146" s="39" t="s">
        <v>249</v>
      </c>
      <c r="D146" s="39">
        <v>1</v>
      </c>
      <c r="E146" s="39">
        <v>300</v>
      </c>
      <c r="F146" s="39">
        <v>300</v>
      </c>
      <c r="G146" s="39" t="s">
        <v>81</v>
      </c>
      <c r="H146" s="75">
        <v>12.8</v>
      </c>
      <c r="I146" s="75">
        <f t="shared" si="17"/>
        <v>12.416</v>
      </c>
      <c r="J146" s="75">
        <v>0.073</v>
      </c>
      <c r="K146" s="39">
        <v>3926909790</v>
      </c>
      <c r="L146" s="39" t="s">
        <v>250</v>
      </c>
      <c r="M146" s="34">
        <v>906</v>
      </c>
      <c r="N146" s="75">
        <v>5.558</v>
      </c>
      <c r="O146" s="75">
        <f t="shared" si="18"/>
        <v>1667.4</v>
      </c>
    </row>
    <row r="147" s="56" customFormat="1" ht="13.9" customHeight="1" spans="1:15">
      <c r="A147" s="74">
        <f t="shared" si="19"/>
        <v>133</v>
      </c>
      <c r="B147" s="39">
        <v>8978269</v>
      </c>
      <c r="C147" s="39" t="s">
        <v>251</v>
      </c>
      <c r="D147" s="39">
        <v>1</v>
      </c>
      <c r="E147" s="39">
        <v>150</v>
      </c>
      <c r="F147" s="39">
        <v>150</v>
      </c>
      <c r="G147" s="39" t="s">
        <v>26</v>
      </c>
      <c r="H147" s="75">
        <v>20.5</v>
      </c>
      <c r="I147" s="75">
        <f t="shared" si="17"/>
        <v>19.885</v>
      </c>
      <c r="J147" s="75">
        <v>0.056</v>
      </c>
      <c r="K147" s="39">
        <v>3926909790</v>
      </c>
      <c r="L147" s="39" t="s">
        <v>252</v>
      </c>
      <c r="M147" s="34">
        <v>906</v>
      </c>
      <c r="N147" s="75">
        <v>5.558</v>
      </c>
      <c r="O147" s="75">
        <f t="shared" si="18"/>
        <v>833.7</v>
      </c>
    </row>
    <row r="148" s="56" customFormat="1" ht="13.9" customHeight="1" spans="1:15">
      <c r="A148" s="74">
        <f t="shared" si="19"/>
        <v>134</v>
      </c>
      <c r="B148" s="39">
        <v>8978272</v>
      </c>
      <c r="C148" s="39" t="s">
        <v>253</v>
      </c>
      <c r="D148" s="39">
        <v>1</v>
      </c>
      <c r="E148" s="39">
        <v>48</v>
      </c>
      <c r="F148" s="39">
        <v>48</v>
      </c>
      <c r="G148" s="39" t="s">
        <v>81</v>
      </c>
      <c r="H148" s="75">
        <v>20.4</v>
      </c>
      <c r="I148" s="75">
        <f t="shared" si="17"/>
        <v>19.788</v>
      </c>
      <c r="J148" s="75">
        <v>0.102</v>
      </c>
      <c r="K148" s="39">
        <v>9019109000</v>
      </c>
      <c r="L148" s="39" t="s">
        <v>254</v>
      </c>
      <c r="M148" s="34">
        <v>906</v>
      </c>
      <c r="N148" s="75">
        <v>5.558</v>
      </c>
      <c r="O148" s="75">
        <f t="shared" si="18"/>
        <v>266.784</v>
      </c>
    </row>
    <row r="149" s="56" customFormat="1" ht="13.9" customHeight="1" spans="1:15">
      <c r="A149" s="74">
        <f t="shared" si="19"/>
        <v>135</v>
      </c>
      <c r="B149" s="39">
        <v>9066510</v>
      </c>
      <c r="C149" s="39" t="s">
        <v>255</v>
      </c>
      <c r="D149" s="39">
        <v>10</v>
      </c>
      <c r="E149" s="39">
        <v>12</v>
      </c>
      <c r="F149" s="39">
        <v>120</v>
      </c>
      <c r="G149" s="39" t="s">
        <v>26</v>
      </c>
      <c r="H149" s="75">
        <v>98</v>
      </c>
      <c r="I149" s="75">
        <f t="shared" si="17"/>
        <v>95.06</v>
      </c>
      <c r="J149" s="75">
        <v>1.008</v>
      </c>
      <c r="K149" s="39">
        <v>9603909100</v>
      </c>
      <c r="L149" s="39" t="s">
        <v>256</v>
      </c>
      <c r="M149" s="34">
        <v>906</v>
      </c>
      <c r="N149" s="75">
        <v>11</v>
      </c>
      <c r="O149" s="75">
        <f t="shared" si="18"/>
        <v>1320</v>
      </c>
    </row>
    <row r="150" s="56" customFormat="1" ht="13.9" customHeight="1" spans="1:15">
      <c r="A150" s="74">
        <f t="shared" si="19"/>
        <v>136</v>
      </c>
      <c r="B150" s="39">
        <v>9067795</v>
      </c>
      <c r="C150" s="39" t="s">
        <v>257</v>
      </c>
      <c r="D150" s="39">
        <v>3</v>
      </c>
      <c r="E150" s="39">
        <v>100</v>
      </c>
      <c r="F150" s="39">
        <v>300</v>
      </c>
      <c r="G150" s="39" t="s">
        <v>258</v>
      </c>
      <c r="H150" s="75">
        <v>13.2</v>
      </c>
      <c r="I150" s="75">
        <f t="shared" si="17"/>
        <v>12.804</v>
      </c>
      <c r="J150" s="75">
        <v>0.2622</v>
      </c>
      <c r="K150" s="39">
        <v>6406905090</v>
      </c>
      <c r="L150" s="39" t="s">
        <v>259</v>
      </c>
      <c r="M150" s="34">
        <v>906</v>
      </c>
      <c r="N150" s="75">
        <v>5.558</v>
      </c>
      <c r="O150" s="75">
        <f t="shared" si="18"/>
        <v>1667.4</v>
      </c>
    </row>
    <row r="151" s="56" customFormat="1" ht="13.9" customHeight="1" spans="1:15">
      <c r="A151" s="74">
        <f t="shared" si="19"/>
        <v>137</v>
      </c>
      <c r="B151" s="39">
        <v>9069195</v>
      </c>
      <c r="C151" s="39" t="s">
        <v>260</v>
      </c>
      <c r="D151" s="39">
        <v>4</v>
      </c>
      <c r="E151" s="39">
        <v>24</v>
      </c>
      <c r="F151" s="39">
        <v>96</v>
      </c>
      <c r="G151" s="39" t="s">
        <v>81</v>
      </c>
      <c r="H151" s="75">
        <v>91.2</v>
      </c>
      <c r="I151" s="75">
        <f t="shared" si="17"/>
        <v>88.464</v>
      </c>
      <c r="J151" s="75">
        <v>0.78</v>
      </c>
      <c r="K151" s="39">
        <v>3924900090</v>
      </c>
      <c r="L151" s="39" t="s">
        <v>261</v>
      </c>
      <c r="M151" s="34">
        <v>906</v>
      </c>
      <c r="N151" s="75">
        <v>9.8</v>
      </c>
      <c r="O151" s="75">
        <f t="shared" si="18"/>
        <v>940.8</v>
      </c>
    </row>
    <row r="152" s="56" customFormat="1" ht="13.9" customHeight="1" spans="1:15">
      <c r="A152" s="74">
        <f t="shared" si="19"/>
        <v>138</v>
      </c>
      <c r="B152" s="39">
        <v>9069783</v>
      </c>
      <c r="C152" s="39" t="s">
        <v>262</v>
      </c>
      <c r="D152" s="39">
        <v>1</v>
      </c>
      <c r="E152" s="39">
        <v>200</v>
      </c>
      <c r="F152" s="39">
        <v>200</v>
      </c>
      <c r="G152" s="39" t="s">
        <v>81</v>
      </c>
      <c r="H152" s="75">
        <v>16</v>
      </c>
      <c r="I152" s="75">
        <f t="shared" si="17"/>
        <v>15.52</v>
      </c>
      <c r="J152" s="75">
        <v>0.1138</v>
      </c>
      <c r="K152" s="39">
        <v>9603298000</v>
      </c>
      <c r="L152" s="39" t="s">
        <v>74</v>
      </c>
      <c r="M152" s="34">
        <v>906</v>
      </c>
      <c r="N152" s="75">
        <v>15.2</v>
      </c>
      <c r="O152" s="75">
        <f t="shared" si="18"/>
        <v>3040</v>
      </c>
    </row>
    <row r="153" s="56" customFormat="1" ht="13.9" customHeight="1" spans="1:15">
      <c r="A153" s="74">
        <f t="shared" si="19"/>
        <v>139</v>
      </c>
      <c r="B153" s="39">
        <v>9069993</v>
      </c>
      <c r="C153" s="39" t="s">
        <v>263</v>
      </c>
      <c r="D153" s="39">
        <v>2</v>
      </c>
      <c r="E153" s="39">
        <v>20</v>
      </c>
      <c r="F153" s="39">
        <v>40</v>
      </c>
      <c r="G153" s="39" t="s">
        <v>81</v>
      </c>
      <c r="H153" s="75">
        <v>35.6</v>
      </c>
      <c r="I153" s="75">
        <f t="shared" si="17"/>
        <v>34.532</v>
      </c>
      <c r="J153" s="75">
        <v>0.1724</v>
      </c>
      <c r="K153" s="39">
        <v>9403700000</v>
      </c>
      <c r="L153" s="39" t="s">
        <v>198</v>
      </c>
      <c r="M153" s="34">
        <v>906</v>
      </c>
      <c r="N153" s="75">
        <v>3.8</v>
      </c>
      <c r="O153" s="75">
        <f t="shared" si="18"/>
        <v>152</v>
      </c>
    </row>
    <row r="154" s="56" customFormat="1" ht="13.9" customHeight="1" spans="1:15">
      <c r="A154" s="74">
        <f t="shared" si="19"/>
        <v>140</v>
      </c>
      <c r="B154" s="39">
        <v>8951683</v>
      </c>
      <c r="C154" s="39" t="s">
        <v>264</v>
      </c>
      <c r="D154" s="39">
        <v>5</v>
      </c>
      <c r="E154" s="39">
        <v>144</v>
      </c>
      <c r="F154" s="39">
        <v>720</v>
      </c>
      <c r="G154" s="39" t="s">
        <v>58</v>
      </c>
      <c r="H154" s="75">
        <v>145</v>
      </c>
      <c r="I154" s="75">
        <f t="shared" si="17"/>
        <v>140.65</v>
      </c>
      <c r="J154" s="75">
        <v>0.15855</v>
      </c>
      <c r="K154" s="39">
        <v>9610000000</v>
      </c>
      <c r="L154" s="39" t="s">
        <v>265</v>
      </c>
      <c r="M154" s="34">
        <v>908</v>
      </c>
      <c r="N154" s="75">
        <v>0.8</v>
      </c>
      <c r="O154" s="75">
        <f t="shared" si="18"/>
        <v>576</v>
      </c>
    </row>
    <row r="155" s="56" customFormat="1" ht="13.9" customHeight="1" spans="1:15">
      <c r="A155" s="74">
        <f t="shared" si="19"/>
        <v>141</v>
      </c>
      <c r="B155" s="39">
        <v>8951109</v>
      </c>
      <c r="C155" s="39" t="s">
        <v>266</v>
      </c>
      <c r="D155" s="39">
        <v>1</v>
      </c>
      <c r="E155" s="39">
        <v>200</v>
      </c>
      <c r="F155" s="39">
        <v>200</v>
      </c>
      <c r="G155" s="39" t="s">
        <v>81</v>
      </c>
      <c r="H155" s="75">
        <v>22</v>
      </c>
      <c r="I155" s="75">
        <f t="shared" si="17"/>
        <v>21.34</v>
      </c>
      <c r="J155" s="75">
        <v>0.05998</v>
      </c>
      <c r="K155" s="39">
        <v>4016999790</v>
      </c>
      <c r="L155" s="39" t="s">
        <v>194</v>
      </c>
      <c r="M155" s="34">
        <v>908</v>
      </c>
      <c r="N155" s="75">
        <v>2.6</v>
      </c>
      <c r="O155" s="75">
        <f t="shared" si="18"/>
        <v>520</v>
      </c>
    </row>
    <row r="156" s="56" customFormat="1" ht="13.9" customHeight="1" spans="1:15">
      <c r="A156" s="74">
        <f t="shared" ref="A156:A165" si="20">ROW()-14</f>
        <v>142</v>
      </c>
      <c r="B156" s="39">
        <v>6002186</v>
      </c>
      <c r="C156" s="39" t="s">
        <v>267</v>
      </c>
      <c r="D156" s="39">
        <v>115</v>
      </c>
      <c r="E156" s="39">
        <v>6</v>
      </c>
      <c r="F156" s="39">
        <v>690</v>
      </c>
      <c r="G156" s="39" t="s">
        <v>81</v>
      </c>
      <c r="H156" s="75">
        <v>1063.75</v>
      </c>
      <c r="I156" s="75">
        <f t="shared" si="17"/>
        <v>1031.8375</v>
      </c>
      <c r="J156" s="75">
        <v>3.61284</v>
      </c>
      <c r="K156" s="39">
        <v>7013499900</v>
      </c>
      <c r="L156" s="39" t="s">
        <v>268</v>
      </c>
      <c r="M156" s="34" t="s">
        <v>269</v>
      </c>
      <c r="N156" s="75">
        <v>5.558</v>
      </c>
      <c r="O156" s="75">
        <f t="shared" si="18"/>
        <v>3835.02</v>
      </c>
    </row>
    <row r="157" s="56" customFormat="1" ht="13.9" customHeight="1" spans="1:15">
      <c r="A157" s="74">
        <f t="shared" si="20"/>
        <v>143</v>
      </c>
      <c r="B157" s="39">
        <v>9085373</v>
      </c>
      <c r="C157" s="39" t="s">
        <v>270</v>
      </c>
      <c r="D157" s="39">
        <v>1</v>
      </c>
      <c r="E157" s="39">
        <v>200</v>
      </c>
      <c r="F157" s="39">
        <v>200</v>
      </c>
      <c r="G157" s="39" t="s">
        <v>81</v>
      </c>
      <c r="H157" s="75">
        <v>22</v>
      </c>
      <c r="I157" s="75">
        <f t="shared" si="17"/>
        <v>21.34</v>
      </c>
      <c r="J157" s="75">
        <v>0.05998</v>
      </c>
      <c r="K157" s="39">
        <v>4016999790</v>
      </c>
      <c r="L157" s="39" t="s">
        <v>271</v>
      </c>
      <c r="M157" s="34">
        <v>908</v>
      </c>
      <c r="N157" s="75">
        <v>2.6</v>
      </c>
      <c r="O157" s="75">
        <f t="shared" si="18"/>
        <v>520</v>
      </c>
    </row>
    <row r="158" s="56" customFormat="1" ht="13.9" customHeight="1" spans="1:15">
      <c r="A158" s="74">
        <f t="shared" si="20"/>
        <v>144</v>
      </c>
      <c r="B158" s="39">
        <v>9039766</v>
      </c>
      <c r="C158" s="39" t="s">
        <v>272</v>
      </c>
      <c r="D158" s="39">
        <v>1</v>
      </c>
      <c r="E158" s="39">
        <v>120</v>
      </c>
      <c r="F158" s="39">
        <v>120</v>
      </c>
      <c r="G158" s="39" t="s">
        <v>26</v>
      </c>
      <c r="H158" s="75">
        <v>13.25</v>
      </c>
      <c r="I158" s="75">
        <f t="shared" si="17"/>
        <v>12.8525</v>
      </c>
      <c r="J158" s="75">
        <v>0.0324</v>
      </c>
      <c r="K158" s="39">
        <v>6217100090</v>
      </c>
      <c r="L158" s="39" t="s">
        <v>273</v>
      </c>
      <c r="M158" s="34">
        <v>903</v>
      </c>
      <c r="N158" s="75">
        <v>4.7</v>
      </c>
      <c r="O158" s="75">
        <f t="shared" si="18"/>
        <v>564</v>
      </c>
    </row>
    <row r="159" s="56" customFormat="1" ht="13.9" customHeight="1" spans="1:15">
      <c r="A159" s="74">
        <f t="shared" si="20"/>
        <v>145</v>
      </c>
      <c r="B159" s="39">
        <v>9047121</v>
      </c>
      <c r="C159" s="39" t="s">
        <v>274</v>
      </c>
      <c r="D159" s="39">
        <v>3</v>
      </c>
      <c r="E159" s="39">
        <v>48</v>
      </c>
      <c r="F159" s="39">
        <v>144</v>
      </c>
      <c r="G159" s="39" t="s">
        <v>26</v>
      </c>
      <c r="H159" s="75">
        <v>25.5</v>
      </c>
      <c r="I159" s="75">
        <f t="shared" si="17"/>
        <v>24.735</v>
      </c>
      <c r="J159" s="75">
        <v>0.58515</v>
      </c>
      <c r="K159" s="39">
        <v>6702100000</v>
      </c>
      <c r="L159" s="39" t="s">
        <v>275</v>
      </c>
      <c r="M159" s="34">
        <v>904</v>
      </c>
      <c r="N159" s="75">
        <v>9.1726</v>
      </c>
      <c r="O159" s="75">
        <f t="shared" si="18"/>
        <v>1320.8544</v>
      </c>
    </row>
    <row r="160" s="56" customFormat="1" ht="13.9" customHeight="1" spans="1:15">
      <c r="A160" s="74">
        <f t="shared" si="20"/>
        <v>146</v>
      </c>
      <c r="B160" s="39">
        <v>9047122</v>
      </c>
      <c r="C160" s="39" t="s">
        <v>276</v>
      </c>
      <c r="D160" s="39">
        <v>2</v>
      </c>
      <c r="E160" s="39">
        <v>96</v>
      </c>
      <c r="F160" s="39">
        <v>192</v>
      </c>
      <c r="G160" s="39" t="s">
        <v>26</v>
      </c>
      <c r="H160" s="75">
        <v>24</v>
      </c>
      <c r="I160" s="75">
        <f t="shared" si="17"/>
        <v>23.28</v>
      </c>
      <c r="J160" s="75">
        <v>0.39</v>
      </c>
      <c r="K160" s="39">
        <v>6702100000</v>
      </c>
      <c r="L160" s="39" t="s">
        <v>277</v>
      </c>
      <c r="M160" s="34">
        <v>904</v>
      </c>
      <c r="N160" s="75">
        <v>9.1726</v>
      </c>
      <c r="O160" s="75">
        <f t="shared" si="18"/>
        <v>1761.1392</v>
      </c>
    </row>
    <row r="161" s="56" customFormat="1" ht="13.9" customHeight="1" spans="1:15">
      <c r="A161" s="74">
        <f t="shared" si="20"/>
        <v>147</v>
      </c>
      <c r="B161" s="39">
        <v>9047916</v>
      </c>
      <c r="C161" s="39" t="s">
        <v>278</v>
      </c>
      <c r="D161" s="39">
        <v>1</v>
      </c>
      <c r="E161" s="39">
        <v>96</v>
      </c>
      <c r="F161" s="39">
        <v>96</v>
      </c>
      <c r="G161" s="39" t="s">
        <v>26</v>
      </c>
      <c r="H161" s="75">
        <v>14</v>
      </c>
      <c r="I161" s="75">
        <f t="shared" si="17"/>
        <v>13.58</v>
      </c>
      <c r="J161" s="75">
        <v>0.1587</v>
      </c>
      <c r="K161" s="39">
        <v>6702900000</v>
      </c>
      <c r="L161" s="39" t="s">
        <v>275</v>
      </c>
      <c r="M161" s="34">
        <v>904</v>
      </c>
      <c r="N161" s="75">
        <v>9.1726</v>
      </c>
      <c r="O161" s="75">
        <f t="shared" si="18"/>
        <v>880.5696</v>
      </c>
    </row>
    <row r="162" s="59" customFormat="1" ht="13.9" customHeight="1" spans="1:15">
      <c r="A162" s="84">
        <f t="shared" si="20"/>
        <v>148</v>
      </c>
      <c r="B162" s="45">
        <v>6001503</v>
      </c>
      <c r="C162" s="45" t="s">
        <v>279</v>
      </c>
      <c r="D162" s="45">
        <v>68</v>
      </c>
      <c r="E162" s="45">
        <v>24</v>
      </c>
      <c r="F162" s="45">
        <v>1632</v>
      </c>
      <c r="G162" s="45" t="s">
        <v>26</v>
      </c>
      <c r="H162" s="85">
        <v>639.2</v>
      </c>
      <c r="I162" s="85">
        <f t="shared" si="17"/>
        <v>620.024</v>
      </c>
      <c r="J162" s="85">
        <v>1.020272</v>
      </c>
      <c r="K162" s="45">
        <v>6912002310</v>
      </c>
      <c r="L162" s="45" t="s">
        <v>121</v>
      </c>
      <c r="M162" s="40">
        <v>906</v>
      </c>
      <c r="N162" s="85">
        <v>5.558</v>
      </c>
      <c r="O162" s="85">
        <f t="shared" si="18"/>
        <v>9070.656</v>
      </c>
    </row>
    <row r="163" s="59" customFormat="1" ht="13.9" customHeight="1" spans="1:15">
      <c r="A163" s="84">
        <f t="shared" si="20"/>
        <v>149</v>
      </c>
      <c r="B163" s="45">
        <v>6001502</v>
      </c>
      <c r="C163" s="45" t="s">
        <v>280</v>
      </c>
      <c r="D163" s="45">
        <v>36</v>
      </c>
      <c r="E163" s="45">
        <v>24</v>
      </c>
      <c r="F163" s="45">
        <v>864</v>
      </c>
      <c r="G163" s="45" t="s">
        <v>26</v>
      </c>
      <c r="H163" s="85">
        <v>680.4</v>
      </c>
      <c r="I163" s="85">
        <f t="shared" si="17"/>
        <v>659.988</v>
      </c>
      <c r="J163" s="85">
        <v>1.12752</v>
      </c>
      <c r="K163" s="45">
        <v>6912002310</v>
      </c>
      <c r="L163" s="45" t="s">
        <v>121</v>
      </c>
      <c r="M163" s="40">
        <v>906</v>
      </c>
      <c r="N163" s="85">
        <v>5.558</v>
      </c>
      <c r="O163" s="85">
        <f t="shared" si="18"/>
        <v>4802.112</v>
      </c>
    </row>
    <row r="164" s="56" customFormat="1" ht="13.9" customHeight="1" spans="1:15">
      <c r="A164" s="74">
        <f t="shared" si="20"/>
        <v>150</v>
      </c>
      <c r="B164" s="39">
        <v>8978149</v>
      </c>
      <c r="C164" s="39" t="s">
        <v>281</v>
      </c>
      <c r="D164" s="39">
        <v>1</v>
      </c>
      <c r="E164" s="39">
        <v>288</v>
      </c>
      <c r="F164" s="39">
        <v>288</v>
      </c>
      <c r="G164" s="39" t="s">
        <v>58</v>
      </c>
      <c r="H164" s="75">
        <v>13.36</v>
      </c>
      <c r="I164" s="75">
        <f t="shared" si="17"/>
        <v>12.9592</v>
      </c>
      <c r="J164" s="75">
        <v>0.156</v>
      </c>
      <c r="K164" s="39">
        <v>6805300000</v>
      </c>
      <c r="L164" s="39" t="s">
        <v>140</v>
      </c>
      <c r="M164" s="34">
        <v>906</v>
      </c>
      <c r="N164" s="75">
        <v>5.558</v>
      </c>
      <c r="O164" s="75">
        <f t="shared" si="18"/>
        <v>1600.704</v>
      </c>
    </row>
    <row r="165" s="56" customFormat="1" ht="13.9" customHeight="1" spans="1:15">
      <c r="A165" s="74">
        <f t="shared" si="20"/>
        <v>151</v>
      </c>
      <c r="B165" s="39">
        <v>6001268</v>
      </c>
      <c r="C165" s="39" t="s">
        <v>282</v>
      </c>
      <c r="D165" s="39">
        <v>34</v>
      </c>
      <c r="E165" s="39">
        <v>18</v>
      </c>
      <c r="F165" s="39">
        <v>612</v>
      </c>
      <c r="G165" s="39" t="s">
        <v>26</v>
      </c>
      <c r="H165" s="75">
        <v>193.8</v>
      </c>
      <c r="I165" s="75">
        <f t="shared" si="17"/>
        <v>187.986</v>
      </c>
      <c r="J165" s="75">
        <v>0.39168</v>
      </c>
      <c r="K165" s="39">
        <v>4820105000</v>
      </c>
      <c r="L165" s="39" t="s">
        <v>98</v>
      </c>
      <c r="M165" s="34">
        <v>908</v>
      </c>
      <c r="N165" s="75">
        <v>8.098</v>
      </c>
      <c r="O165" s="75">
        <f t="shared" si="18"/>
        <v>4955.976</v>
      </c>
    </row>
    <row r="166" s="56" customFormat="1" ht="13.9" customHeight="1" spans="1:15">
      <c r="A166" s="74">
        <f t="shared" ref="A166:A175" si="21">ROW()-14</f>
        <v>152</v>
      </c>
      <c r="B166" s="39">
        <v>6001239</v>
      </c>
      <c r="C166" s="39" t="s">
        <v>283</v>
      </c>
      <c r="D166" s="39">
        <v>4</v>
      </c>
      <c r="E166" s="39">
        <v>250</v>
      </c>
      <c r="F166" s="39">
        <v>1000</v>
      </c>
      <c r="G166" s="39" t="s">
        <v>26</v>
      </c>
      <c r="H166" s="75">
        <v>18</v>
      </c>
      <c r="I166" s="75">
        <f t="shared" si="17"/>
        <v>17.46</v>
      </c>
      <c r="J166" s="75">
        <v>0.093456</v>
      </c>
      <c r="K166" s="39">
        <v>3919908099</v>
      </c>
      <c r="L166" s="39" t="s">
        <v>284</v>
      </c>
      <c r="M166" s="34">
        <v>908</v>
      </c>
      <c r="N166" s="75">
        <v>1.8</v>
      </c>
      <c r="O166" s="75">
        <f t="shared" si="18"/>
        <v>1800</v>
      </c>
    </row>
    <row r="167" s="56" customFormat="1" ht="13.9" customHeight="1" spans="1:15">
      <c r="A167" s="74">
        <f t="shared" si="21"/>
        <v>153</v>
      </c>
      <c r="B167" s="39">
        <v>8000298</v>
      </c>
      <c r="C167" s="39" t="s">
        <v>285</v>
      </c>
      <c r="D167" s="39">
        <v>2</v>
      </c>
      <c r="E167" s="39">
        <v>60</v>
      </c>
      <c r="F167" s="39">
        <v>120</v>
      </c>
      <c r="G167" s="39" t="s">
        <v>81</v>
      </c>
      <c r="H167" s="75">
        <v>44</v>
      </c>
      <c r="I167" s="75">
        <f t="shared" si="17"/>
        <v>42.68</v>
      </c>
      <c r="J167" s="75">
        <v>0.1816</v>
      </c>
      <c r="K167" s="39">
        <v>8203200000</v>
      </c>
      <c r="L167" s="39" t="s">
        <v>286</v>
      </c>
      <c r="M167" s="34">
        <v>907</v>
      </c>
      <c r="N167" s="75">
        <v>41.678</v>
      </c>
      <c r="O167" s="75">
        <f t="shared" si="18"/>
        <v>5001.36</v>
      </c>
    </row>
    <row r="168" s="56" customFormat="1" ht="13.9" customHeight="1" spans="1:15">
      <c r="A168" s="74">
        <f t="shared" si="21"/>
        <v>154</v>
      </c>
      <c r="B168" s="39">
        <v>8000308</v>
      </c>
      <c r="C168" s="39" t="s">
        <v>287</v>
      </c>
      <c r="D168" s="39">
        <v>2</v>
      </c>
      <c r="E168" s="39">
        <v>60</v>
      </c>
      <c r="F168" s="39">
        <v>120</v>
      </c>
      <c r="G168" s="39" t="s">
        <v>26</v>
      </c>
      <c r="H168" s="75">
        <v>64.8</v>
      </c>
      <c r="I168" s="75">
        <f t="shared" si="17"/>
        <v>62.856</v>
      </c>
      <c r="J168" s="75">
        <v>0.105</v>
      </c>
      <c r="K168" s="39">
        <v>8204120000</v>
      </c>
      <c r="L168" s="39" t="s">
        <v>286</v>
      </c>
      <c r="M168" s="34">
        <v>907</v>
      </c>
      <c r="N168" s="75">
        <v>41.678</v>
      </c>
      <c r="O168" s="75">
        <f t="shared" si="18"/>
        <v>5001.36</v>
      </c>
    </row>
    <row r="169" s="56" customFormat="1" ht="13.9" customHeight="1" spans="1:15">
      <c r="A169" s="74">
        <f t="shared" si="21"/>
        <v>155</v>
      </c>
      <c r="B169" s="39">
        <v>8000316</v>
      </c>
      <c r="C169" s="39" t="s">
        <v>288</v>
      </c>
      <c r="D169" s="39">
        <v>1</v>
      </c>
      <c r="E169" s="39">
        <v>120</v>
      </c>
      <c r="F169" s="39">
        <v>120</v>
      </c>
      <c r="G169" s="39" t="s">
        <v>26</v>
      </c>
      <c r="H169" s="75">
        <v>19.2</v>
      </c>
      <c r="I169" s="75">
        <f t="shared" si="17"/>
        <v>18.624</v>
      </c>
      <c r="J169" s="75">
        <v>0.0614</v>
      </c>
      <c r="K169" s="39">
        <v>8203200000</v>
      </c>
      <c r="L169" s="39" t="s">
        <v>289</v>
      </c>
      <c r="M169" s="34">
        <v>907</v>
      </c>
      <c r="N169" s="75">
        <v>41.678</v>
      </c>
      <c r="O169" s="75">
        <f t="shared" si="18"/>
        <v>5001.36</v>
      </c>
    </row>
    <row r="170" s="56" customFormat="1" ht="13.9" customHeight="1" spans="1:15">
      <c r="A170" s="74">
        <f t="shared" si="21"/>
        <v>156</v>
      </c>
      <c r="B170" s="39">
        <v>8000318</v>
      </c>
      <c r="C170" s="39" t="s">
        <v>290</v>
      </c>
      <c r="D170" s="39">
        <v>2</v>
      </c>
      <c r="E170" s="39">
        <v>72</v>
      </c>
      <c r="F170" s="39">
        <v>144</v>
      </c>
      <c r="G170" s="39" t="s">
        <v>26</v>
      </c>
      <c r="H170" s="75">
        <v>38</v>
      </c>
      <c r="I170" s="75">
        <f t="shared" si="17"/>
        <v>36.86</v>
      </c>
      <c r="J170" s="75">
        <v>0.072</v>
      </c>
      <c r="K170" s="39">
        <v>8203300000</v>
      </c>
      <c r="L170" s="39" t="s">
        <v>291</v>
      </c>
      <c r="M170" s="34">
        <v>907</v>
      </c>
      <c r="N170" s="75">
        <v>41.678</v>
      </c>
      <c r="O170" s="75">
        <f t="shared" si="18"/>
        <v>6001.632</v>
      </c>
    </row>
    <row r="171" s="56" customFormat="1" ht="13.9" customHeight="1" spans="1:15">
      <c r="A171" s="74">
        <f t="shared" si="21"/>
        <v>157</v>
      </c>
      <c r="B171" s="39">
        <v>6001010</v>
      </c>
      <c r="C171" s="39" t="s">
        <v>292</v>
      </c>
      <c r="D171" s="39">
        <v>1</v>
      </c>
      <c r="E171" s="39">
        <v>144</v>
      </c>
      <c r="F171" s="39">
        <v>144</v>
      </c>
      <c r="G171" s="39" t="s">
        <v>26</v>
      </c>
      <c r="H171" s="75">
        <v>17.5</v>
      </c>
      <c r="I171" s="75">
        <f t="shared" si="17"/>
        <v>16.975</v>
      </c>
      <c r="J171" s="75">
        <v>0.054694</v>
      </c>
      <c r="K171" s="39">
        <v>8211930000</v>
      </c>
      <c r="L171" s="39" t="s">
        <v>293</v>
      </c>
      <c r="M171" s="34">
        <v>907</v>
      </c>
      <c r="N171" s="75">
        <v>41.678</v>
      </c>
      <c r="O171" s="75">
        <f t="shared" si="18"/>
        <v>6001.632</v>
      </c>
    </row>
    <row r="172" s="56" customFormat="1" ht="13.9" customHeight="1" spans="1:15">
      <c r="A172" s="74">
        <f t="shared" si="21"/>
        <v>158</v>
      </c>
      <c r="B172" s="39">
        <v>6001022</v>
      </c>
      <c r="C172" s="39" t="s">
        <v>294</v>
      </c>
      <c r="D172" s="39">
        <v>12</v>
      </c>
      <c r="E172" s="39">
        <v>12</v>
      </c>
      <c r="F172" s="39">
        <v>144</v>
      </c>
      <c r="G172" s="39" t="s">
        <v>26</v>
      </c>
      <c r="H172" s="75">
        <v>12</v>
      </c>
      <c r="I172" s="75">
        <f t="shared" si="17"/>
        <v>11.64</v>
      </c>
      <c r="J172" s="75">
        <v>0.0606</v>
      </c>
      <c r="K172" s="39">
        <v>9603909900</v>
      </c>
      <c r="L172" s="39" t="s">
        <v>295</v>
      </c>
      <c r="M172" s="34">
        <v>907</v>
      </c>
      <c r="N172" s="75">
        <v>41.678</v>
      </c>
      <c r="O172" s="75">
        <f t="shared" si="18"/>
        <v>6001.632</v>
      </c>
    </row>
    <row r="173" s="56" customFormat="1" ht="13.9" customHeight="1" spans="1:15">
      <c r="A173" s="74">
        <f t="shared" si="21"/>
        <v>159</v>
      </c>
      <c r="B173" s="39">
        <v>6001039</v>
      </c>
      <c r="C173" s="39" t="s">
        <v>296</v>
      </c>
      <c r="D173" s="39">
        <v>1</v>
      </c>
      <c r="E173" s="39">
        <v>288</v>
      </c>
      <c r="F173" s="39">
        <v>288</v>
      </c>
      <c r="G173" s="39" t="s">
        <v>58</v>
      </c>
      <c r="H173" s="75">
        <v>34.5</v>
      </c>
      <c r="I173" s="75">
        <f t="shared" si="17"/>
        <v>33.465</v>
      </c>
      <c r="J173" s="75">
        <v>0.069088</v>
      </c>
      <c r="K173" s="39">
        <v>3506100000</v>
      </c>
      <c r="L173" s="39" t="s">
        <v>297</v>
      </c>
      <c r="M173" s="34">
        <v>907</v>
      </c>
      <c r="N173" s="75">
        <v>41.678</v>
      </c>
      <c r="O173" s="75">
        <f t="shared" si="18"/>
        <v>12003.264</v>
      </c>
    </row>
    <row r="174" s="56" customFormat="1" ht="13.9" customHeight="1" spans="1:15">
      <c r="A174" s="74">
        <f t="shared" si="21"/>
        <v>160</v>
      </c>
      <c r="B174" s="39">
        <v>6001060</v>
      </c>
      <c r="C174" s="39" t="s">
        <v>298</v>
      </c>
      <c r="D174" s="39">
        <v>1</v>
      </c>
      <c r="E174" s="39">
        <v>144</v>
      </c>
      <c r="F174" s="39">
        <v>144</v>
      </c>
      <c r="G174" s="39" t="s">
        <v>58</v>
      </c>
      <c r="H174" s="75">
        <v>4</v>
      </c>
      <c r="I174" s="75">
        <f t="shared" si="17"/>
        <v>3.88</v>
      </c>
      <c r="J174" s="75">
        <v>0.031635</v>
      </c>
      <c r="K174" s="39">
        <v>3506100000</v>
      </c>
      <c r="L174" s="39" t="s">
        <v>299</v>
      </c>
      <c r="M174" s="34">
        <v>907</v>
      </c>
      <c r="N174" s="75">
        <v>41.678</v>
      </c>
      <c r="O174" s="75">
        <f t="shared" si="18"/>
        <v>6001.632</v>
      </c>
    </row>
    <row r="175" s="56" customFormat="1" ht="13.9" customHeight="1" spans="1:15">
      <c r="A175" s="74">
        <f t="shared" si="21"/>
        <v>161</v>
      </c>
      <c r="B175" s="39">
        <v>6001063</v>
      </c>
      <c r="C175" s="39" t="s">
        <v>300</v>
      </c>
      <c r="D175" s="39">
        <v>5</v>
      </c>
      <c r="E175" s="39">
        <v>72</v>
      </c>
      <c r="F175" s="39">
        <v>360</v>
      </c>
      <c r="G175" s="39" t="s">
        <v>58</v>
      </c>
      <c r="H175" s="75">
        <v>50.6</v>
      </c>
      <c r="I175" s="75">
        <f t="shared" si="17"/>
        <v>49.082</v>
      </c>
      <c r="J175" s="75">
        <v>0.06647</v>
      </c>
      <c r="K175" s="39">
        <v>8301100000</v>
      </c>
      <c r="L175" s="39" t="s">
        <v>301</v>
      </c>
      <c r="M175" s="34">
        <v>907</v>
      </c>
      <c r="N175" s="75">
        <v>41.678</v>
      </c>
      <c r="O175" s="75">
        <f t="shared" si="18"/>
        <v>15004.08</v>
      </c>
    </row>
    <row r="176" s="56" customFormat="1" ht="13.9" customHeight="1" spans="1:15">
      <c r="A176" s="74">
        <f t="shared" ref="A176:A185" si="22">ROW()-14</f>
        <v>162</v>
      </c>
      <c r="B176" s="39">
        <v>6001075</v>
      </c>
      <c r="C176" s="39" t="s">
        <v>302</v>
      </c>
      <c r="D176" s="39">
        <v>3</v>
      </c>
      <c r="E176" s="39">
        <v>72</v>
      </c>
      <c r="F176" s="39">
        <v>216</v>
      </c>
      <c r="G176" s="39" t="s">
        <v>58</v>
      </c>
      <c r="H176" s="75">
        <v>37.5</v>
      </c>
      <c r="I176" s="75">
        <f t="shared" si="17"/>
        <v>36.375</v>
      </c>
      <c r="J176" s="75">
        <v>0.056376</v>
      </c>
      <c r="K176" s="39">
        <v>8301100000</v>
      </c>
      <c r="L176" s="39" t="s">
        <v>303</v>
      </c>
      <c r="M176" s="34">
        <v>907</v>
      </c>
      <c r="N176" s="75">
        <v>41.678</v>
      </c>
      <c r="O176" s="75">
        <f t="shared" si="18"/>
        <v>9002.448</v>
      </c>
    </row>
    <row r="177" s="56" customFormat="1" ht="13.9" customHeight="1" spans="1:15">
      <c r="A177" s="74">
        <f t="shared" si="22"/>
        <v>163</v>
      </c>
      <c r="B177" s="39">
        <v>6001078</v>
      </c>
      <c r="C177" s="39" t="s">
        <v>304</v>
      </c>
      <c r="D177" s="39">
        <v>1</v>
      </c>
      <c r="E177" s="39">
        <v>144</v>
      </c>
      <c r="F177" s="39">
        <v>144</v>
      </c>
      <c r="G177" s="39" t="s">
        <v>58</v>
      </c>
      <c r="H177" s="75">
        <v>6.7</v>
      </c>
      <c r="I177" s="75">
        <f t="shared" si="17"/>
        <v>6.499</v>
      </c>
      <c r="J177" s="75">
        <v>0.019734</v>
      </c>
      <c r="K177" s="39">
        <v>8301100000</v>
      </c>
      <c r="L177" s="39" t="s">
        <v>305</v>
      </c>
      <c r="M177" s="34">
        <v>907</v>
      </c>
      <c r="N177" s="75">
        <v>41.678</v>
      </c>
      <c r="O177" s="75">
        <f t="shared" si="18"/>
        <v>6001.632</v>
      </c>
    </row>
    <row r="178" s="56" customFormat="1" ht="13.9" customHeight="1" spans="1:15">
      <c r="A178" s="74">
        <f t="shared" si="22"/>
        <v>164</v>
      </c>
      <c r="B178" s="39">
        <v>6001095</v>
      </c>
      <c r="C178" s="39" t="s">
        <v>306</v>
      </c>
      <c r="D178" s="39">
        <v>3</v>
      </c>
      <c r="E178" s="39">
        <v>120</v>
      </c>
      <c r="F178" s="39">
        <v>360</v>
      </c>
      <c r="G178" s="39" t="s">
        <v>26</v>
      </c>
      <c r="H178" s="75">
        <v>42</v>
      </c>
      <c r="I178" s="75">
        <f t="shared" si="17"/>
        <v>40.74</v>
      </c>
      <c r="J178" s="75">
        <v>0.09882</v>
      </c>
      <c r="K178" s="39">
        <v>9017801000</v>
      </c>
      <c r="L178" s="39" t="s">
        <v>307</v>
      </c>
      <c r="M178" s="34">
        <v>907</v>
      </c>
      <c r="N178" s="75">
        <v>41.678</v>
      </c>
      <c r="O178" s="75">
        <f t="shared" si="18"/>
        <v>15004.08</v>
      </c>
    </row>
    <row r="179" s="56" customFormat="1" ht="13.9" customHeight="1" spans="1:15">
      <c r="A179" s="74">
        <f t="shared" si="22"/>
        <v>165</v>
      </c>
      <c r="B179" s="39">
        <v>6001104</v>
      </c>
      <c r="C179" s="39" t="s">
        <v>308</v>
      </c>
      <c r="D179" s="39">
        <v>16</v>
      </c>
      <c r="E179" s="39">
        <v>12</v>
      </c>
      <c r="F179" s="39">
        <v>192</v>
      </c>
      <c r="G179" s="39" t="s">
        <v>26</v>
      </c>
      <c r="H179" s="75">
        <v>16</v>
      </c>
      <c r="I179" s="75">
        <f t="shared" si="17"/>
        <v>15.52</v>
      </c>
      <c r="J179" s="75">
        <v>0.0416</v>
      </c>
      <c r="K179" s="39" t="s">
        <v>309</v>
      </c>
      <c r="L179" s="39" t="s">
        <v>310</v>
      </c>
      <c r="M179" s="34">
        <v>907</v>
      </c>
      <c r="N179" s="75">
        <v>41.678</v>
      </c>
      <c r="O179" s="75">
        <f t="shared" si="18"/>
        <v>8002.176</v>
      </c>
    </row>
    <row r="180" s="56" customFormat="1" ht="13.9" customHeight="1" spans="1:15">
      <c r="A180" s="74">
        <f t="shared" si="22"/>
        <v>166</v>
      </c>
      <c r="B180" s="39">
        <v>6001107</v>
      </c>
      <c r="C180" s="39" t="s">
        <v>311</v>
      </c>
      <c r="D180" s="39">
        <v>1</v>
      </c>
      <c r="E180" s="39">
        <v>72</v>
      </c>
      <c r="F180" s="39">
        <v>72</v>
      </c>
      <c r="G180" s="39" t="s">
        <v>26</v>
      </c>
      <c r="H180" s="75">
        <v>17.8</v>
      </c>
      <c r="I180" s="75">
        <f t="shared" si="17"/>
        <v>17.266</v>
      </c>
      <c r="J180" s="75">
        <v>0.01992</v>
      </c>
      <c r="K180" s="39" t="s">
        <v>312</v>
      </c>
      <c r="L180" s="39" t="s">
        <v>313</v>
      </c>
      <c r="M180" s="34">
        <v>907</v>
      </c>
      <c r="N180" s="75">
        <v>41.678</v>
      </c>
      <c r="O180" s="75">
        <f t="shared" si="18"/>
        <v>3000.816</v>
      </c>
    </row>
    <row r="181" s="56" customFormat="1" ht="13.9" customHeight="1" spans="1:15">
      <c r="A181" s="74">
        <f t="shared" si="22"/>
        <v>167</v>
      </c>
      <c r="B181" s="39">
        <v>6001123</v>
      </c>
      <c r="C181" s="39" t="s">
        <v>314</v>
      </c>
      <c r="D181" s="39">
        <v>1</v>
      </c>
      <c r="E181" s="39">
        <v>96</v>
      </c>
      <c r="F181" s="39">
        <v>96</v>
      </c>
      <c r="G181" s="39" t="s">
        <v>26</v>
      </c>
      <c r="H181" s="75">
        <v>14.65</v>
      </c>
      <c r="I181" s="75">
        <f t="shared" si="17"/>
        <v>14.2105</v>
      </c>
      <c r="J181" s="75">
        <v>0.01608</v>
      </c>
      <c r="K181" s="39">
        <v>8204120000</v>
      </c>
      <c r="L181" s="39" t="s">
        <v>315</v>
      </c>
      <c r="M181" s="34">
        <v>907</v>
      </c>
      <c r="N181" s="75">
        <v>41.678</v>
      </c>
      <c r="O181" s="75">
        <f t="shared" si="18"/>
        <v>4001.088</v>
      </c>
    </row>
    <row r="182" s="56" customFormat="1" ht="13.9" customHeight="1" spans="1:15">
      <c r="A182" s="74">
        <f t="shared" si="22"/>
        <v>168</v>
      </c>
      <c r="B182" s="39">
        <v>6001126</v>
      </c>
      <c r="C182" s="39" t="s">
        <v>316</v>
      </c>
      <c r="D182" s="39">
        <v>6</v>
      </c>
      <c r="E182" s="39">
        <v>6</v>
      </c>
      <c r="F182" s="39">
        <v>36</v>
      </c>
      <c r="G182" s="39" t="s">
        <v>26</v>
      </c>
      <c r="H182" s="75">
        <v>17.1</v>
      </c>
      <c r="I182" s="75">
        <f t="shared" si="17"/>
        <v>16.587</v>
      </c>
      <c r="J182" s="75">
        <v>0.018</v>
      </c>
      <c r="K182" s="39">
        <v>8204120000</v>
      </c>
      <c r="L182" s="39" t="s">
        <v>315</v>
      </c>
      <c r="M182" s="34">
        <v>907</v>
      </c>
      <c r="N182" s="75">
        <v>41.678</v>
      </c>
      <c r="O182" s="75">
        <f t="shared" si="18"/>
        <v>1500.408</v>
      </c>
    </row>
    <row r="183" s="56" customFormat="1" ht="13.9" customHeight="1" spans="1:15">
      <c r="A183" s="74">
        <f t="shared" si="22"/>
        <v>169</v>
      </c>
      <c r="B183" s="39">
        <v>6001131</v>
      </c>
      <c r="C183" s="39" t="s">
        <v>317</v>
      </c>
      <c r="D183" s="39">
        <v>8</v>
      </c>
      <c r="E183" s="39">
        <v>12</v>
      </c>
      <c r="F183" s="39">
        <v>96</v>
      </c>
      <c r="G183" s="39" t="s">
        <v>26</v>
      </c>
      <c r="H183" s="75">
        <v>10.8</v>
      </c>
      <c r="I183" s="75">
        <f t="shared" si="17"/>
        <v>10.476</v>
      </c>
      <c r="J183" s="75">
        <v>0.0136</v>
      </c>
      <c r="K183" s="39">
        <v>6804210020</v>
      </c>
      <c r="L183" s="39" t="s">
        <v>318</v>
      </c>
      <c r="M183" s="34">
        <v>907</v>
      </c>
      <c r="N183" s="75">
        <v>41.678</v>
      </c>
      <c r="O183" s="75">
        <f t="shared" si="18"/>
        <v>4001.088</v>
      </c>
    </row>
    <row r="184" s="56" customFormat="1" ht="13.9" customHeight="1" spans="1:15">
      <c r="A184" s="74">
        <f t="shared" si="22"/>
        <v>170</v>
      </c>
      <c r="B184" s="39">
        <v>6001149</v>
      </c>
      <c r="C184" s="39" t="s">
        <v>319</v>
      </c>
      <c r="D184" s="39">
        <v>2</v>
      </c>
      <c r="E184" s="39">
        <v>144</v>
      </c>
      <c r="F184" s="39">
        <v>288</v>
      </c>
      <c r="G184" s="39" t="s">
        <v>58</v>
      </c>
      <c r="H184" s="75">
        <v>9.5</v>
      </c>
      <c r="I184" s="75">
        <f t="shared" si="17"/>
        <v>9.215</v>
      </c>
      <c r="J184" s="75">
        <v>0.069988</v>
      </c>
      <c r="K184" s="39">
        <v>3506100000</v>
      </c>
      <c r="L184" s="39" t="s">
        <v>299</v>
      </c>
      <c r="M184" s="34">
        <v>907</v>
      </c>
      <c r="N184" s="75">
        <v>41.678</v>
      </c>
      <c r="O184" s="75">
        <f t="shared" si="18"/>
        <v>12003.264</v>
      </c>
    </row>
    <row r="185" s="56" customFormat="1" ht="13.9" customHeight="1" spans="1:15">
      <c r="A185" s="74">
        <f t="shared" si="22"/>
        <v>171</v>
      </c>
      <c r="B185" s="39">
        <v>6001155</v>
      </c>
      <c r="C185" s="39" t="s">
        <v>320</v>
      </c>
      <c r="D185" s="39">
        <v>1</v>
      </c>
      <c r="E185" s="39">
        <v>144</v>
      </c>
      <c r="F185" s="39">
        <v>144</v>
      </c>
      <c r="G185" s="39" t="s">
        <v>58</v>
      </c>
      <c r="H185" s="75">
        <v>8.9</v>
      </c>
      <c r="I185" s="75">
        <f t="shared" si="17"/>
        <v>8.633</v>
      </c>
      <c r="J185" s="75">
        <v>0.047006</v>
      </c>
      <c r="K185" s="39">
        <v>3925901000</v>
      </c>
      <c r="L185" s="39" t="s">
        <v>74</v>
      </c>
      <c r="M185" s="34">
        <v>907</v>
      </c>
      <c r="N185" s="75">
        <v>41.678</v>
      </c>
      <c r="O185" s="75">
        <f t="shared" si="18"/>
        <v>6001.632</v>
      </c>
    </row>
    <row r="186" s="56" customFormat="1" ht="13.9" customHeight="1" spans="1:15">
      <c r="A186" s="74">
        <f t="shared" ref="A186:A195" si="23">ROW()-14</f>
        <v>172</v>
      </c>
      <c r="B186" s="39">
        <v>6001161</v>
      </c>
      <c r="C186" s="39" t="s">
        <v>321</v>
      </c>
      <c r="D186" s="39">
        <v>2</v>
      </c>
      <c r="E186" s="39">
        <v>48</v>
      </c>
      <c r="F186" s="39">
        <v>96</v>
      </c>
      <c r="G186" s="39" t="s">
        <v>58</v>
      </c>
      <c r="H186" s="75">
        <v>18.2</v>
      </c>
      <c r="I186" s="75">
        <f t="shared" si="17"/>
        <v>17.654</v>
      </c>
      <c r="J186" s="75">
        <v>0.022656</v>
      </c>
      <c r="K186" s="39">
        <v>8301100000</v>
      </c>
      <c r="L186" s="39" t="s">
        <v>303</v>
      </c>
      <c r="M186" s="34">
        <v>907</v>
      </c>
      <c r="N186" s="75">
        <v>41.678</v>
      </c>
      <c r="O186" s="75">
        <f t="shared" si="18"/>
        <v>4001.088</v>
      </c>
    </row>
    <row r="187" s="56" customFormat="1" ht="13.9" customHeight="1" spans="1:15">
      <c r="A187" s="74">
        <f t="shared" si="23"/>
        <v>173</v>
      </c>
      <c r="B187" s="39">
        <v>6001163</v>
      </c>
      <c r="C187" s="39" t="s">
        <v>322</v>
      </c>
      <c r="D187" s="39">
        <v>48</v>
      </c>
      <c r="E187" s="39">
        <v>12</v>
      </c>
      <c r="F187" s="39">
        <v>576</v>
      </c>
      <c r="G187" s="39" t="s">
        <v>58</v>
      </c>
      <c r="H187" s="75">
        <v>48</v>
      </c>
      <c r="I187" s="75">
        <f t="shared" si="17"/>
        <v>46.56</v>
      </c>
      <c r="J187" s="75">
        <v>0.30864</v>
      </c>
      <c r="K187" s="39">
        <v>9603401000</v>
      </c>
      <c r="L187" s="39" t="s">
        <v>323</v>
      </c>
      <c r="M187" s="34">
        <v>907</v>
      </c>
      <c r="N187" s="75">
        <v>41.678</v>
      </c>
      <c r="O187" s="75">
        <f t="shared" si="18"/>
        <v>24006.528</v>
      </c>
    </row>
    <row r="188" s="56" customFormat="1" ht="13.9" customHeight="1" spans="1:15">
      <c r="A188" s="74">
        <f t="shared" si="23"/>
        <v>174</v>
      </c>
      <c r="B188" s="39">
        <v>6001165</v>
      </c>
      <c r="C188" s="39" t="s">
        <v>324</v>
      </c>
      <c r="D188" s="39">
        <v>1</v>
      </c>
      <c r="E188" s="39">
        <v>72</v>
      </c>
      <c r="F188" s="39">
        <v>72</v>
      </c>
      <c r="G188" s="39" t="s">
        <v>26</v>
      </c>
      <c r="H188" s="75">
        <v>12</v>
      </c>
      <c r="I188" s="75">
        <f t="shared" si="17"/>
        <v>11.64</v>
      </c>
      <c r="J188" s="75">
        <v>0.08061</v>
      </c>
      <c r="K188" s="39" t="s">
        <v>325</v>
      </c>
      <c r="L188" s="39" t="s">
        <v>326</v>
      </c>
      <c r="M188" s="34">
        <v>907</v>
      </c>
      <c r="N188" s="75">
        <v>41.678</v>
      </c>
      <c r="O188" s="75">
        <f t="shared" si="18"/>
        <v>3000.816</v>
      </c>
    </row>
    <row r="189" s="56" customFormat="1" ht="13.9" customHeight="1" spans="1:15">
      <c r="A189" s="74">
        <f t="shared" si="23"/>
        <v>175</v>
      </c>
      <c r="B189" s="39">
        <v>6001177</v>
      </c>
      <c r="C189" s="39" t="s">
        <v>327</v>
      </c>
      <c r="D189" s="39">
        <v>2</v>
      </c>
      <c r="E189" s="39">
        <v>48</v>
      </c>
      <c r="F189" s="39">
        <v>96</v>
      </c>
      <c r="G189" s="39" t="s">
        <v>81</v>
      </c>
      <c r="H189" s="75">
        <v>33</v>
      </c>
      <c r="I189" s="75">
        <f t="shared" si="17"/>
        <v>32.01</v>
      </c>
      <c r="J189" s="75">
        <v>0.057456</v>
      </c>
      <c r="K189" s="39">
        <v>8204110000</v>
      </c>
      <c r="L189" s="39" t="s">
        <v>313</v>
      </c>
      <c r="M189" s="34">
        <v>907</v>
      </c>
      <c r="N189" s="75">
        <v>41.678</v>
      </c>
      <c r="O189" s="75">
        <f t="shared" si="18"/>
        <v>4001.088</v>
      </c>
    </row>
    <row r="190" s="56" customFormat="1" ht="13.9" customHeight="1" spans="1:15">
      <c r="A190" s="74">
        <f t="shared" si="23"/>
        <v>176</v>
      </c>
      <c r="B190" s="39">
        <v>6001179</v>
      </c>
      <c r="C190" s="39" t="s">
        <v>328</v>
      </c>
      <c r="D190" s="39">
        <v>1</v>
      </c>
      <c r="E190" s="39">
        <v>24</v>
      </c>
      <c r="F190" s="39">
        <v>24</v>
      </c>
      <c r="G190" s="39" t="s">
        <v>26</v>
      </c>
      <c r="H190" s="75">
        <v>24</v>
      </c>
      <c r="I190" s="75">
        <f t="shared" si="17"/>
        <v>23.28</v>
      </c>
      <c r="J190" s="75">
        <v>0.026153</v>
      </c>
      <c r="K190" s="39">
        <v>8201400000</v>
      </c>
      <c r="L190" s="39" t="s">
        <v>329</v>
      </c>
      <c r="M190" s="34">
        <v>907</v>
      </c>
      <c r="N190" s="75">
        <v>41.678</v>
      </c>
      <c r="O190" s="75">
        <f t="shared" si="18"/>
        <v>1000.272</v>
      </c>
    </row>
    <row r="191" s="56" customFormat="1" ht="13.9" customHeight="1" spans="1:15">
      <c r="A191" s="74">
        <f t="shared" si="23"/>
        <v>177</v>
      </c>
      <c r="B191" s="39">
        <v>6001194</v>
      </c>
      <c r="C191" s="39" t="s">
        <v>330</v>
      </c>
      <c r="D191" s="39">
        <v>2</v>
      </c>
      <c r="E191" s="39">
        <v>48</v>
      </c>
      <c r="F191" s="39">
        <v>96</v>
      </c>
      <c r="G191" s="39" t="s">
        <v>26</v>
      </c>
      <c r="H191" s="75">
        <v>27.6</v>
      </c>
      <c r="I191" s="75">
        <f t="shared" si="17"/>
        <v>26.772</v>
      </c>
      <c r="J191" s="75">
        <v>0.024958</v>
      </c>
      <c r="K191" s="39">
        <v>8204120000</v>
      </c>
      <c r="L191" s="39" t="s">
        <v>315</v>
      </c>
      <c r="M191" s="34">
        <v>907</v>
      </c>
      <c r="N191" s="75">
        <v>41.678</v>
      </c>
      <c r="O191" s="75">
        <f t="shared" si="18"/>
        <v>4001.088</v>
      </c>
    </row>
    <row r="192" s="56" customFormat="1" ht="13.9" customHeight="1" spans="1:15">
      <c r="A192" s="74">
        <f t="shared" si="23"/>
        <v>178</v>
      </c>
      <c r="B192" s="39">
        <v>6001198</v>
      </c>
      <c r="C192" s="39" t="s">
        <v>331</v>
      </c>
      <c r="D192" s="39">
        <v>1</v>
      </c>
      <c r="E192" s="39">
        <v>20</v>
      </c>
      <c r="F192" s="39">
        <v>20</v>
      </c>
      <c r="G192" s="39" t="s">
        <v>81</v>
      </c>
      <c r="H192" s="75">
        <v>8</v>
      </c>
      <c r="I192" s="75">
        <f t="shared" si="17"/>
        <v>7.76</v>
      </c>
      <c r="J192" s="75">
        <v>0.017784</v>
      </c>
      <c r="K192" s="39" t="s">
        <v>332</v>
      </c>
      <c r="L192" s="39" t="s">
        <v>303</v>
      </c>
      <c r="M192" s="34">
        <v>907</v>
      </c>
      <c r="N192" s="75">
        <v>41.678</v>
      </c>
      <c r="O192" s="75">
        <f t="shared" si="18"/>
        <v>833.56</v>
      </c>
    </row>
    <row r="193" s="56" customFormat="1" ht="13.9" customHeight="1" spans="1:15">
      <c r="A193" s="74">
        <f t="shared" si="23"/>
        <v>179</v>
      </c>
      <c r="B193" s="39">
        <v>6001206</v>
      </c>
      <c r="C193" s="39" t="s">
        <v>333</v>
      </c>
      <c r="D193" s="39">
        <v>6</v>
      </c>
      <c r="E193" s="39">
        <v>48</v>
      </c>
      <c r="F193" s="39">
        <v>288</v>
      </c>
      <c r="G193" s="39" t="s">
        <v>58</v>
      </c>
      <c r="H193" s="75">
        <v>57.6</v>
      </c>
      <c r="I193" s="75">
        <f t="shared" si="17"/>
        <v>55.872</v>
      </c>
      <c r="J193" s="75">
        <v>0.33201</v>
      </c>
      <c r="K193" s="39" t="s">
        <v>334</v>
      </c>
      <c r="L193" s="39" t="s">
        <v>335</v>
      </c>
      <c r="M193" s="34">
        <v>907</v>
      </c>
      <c r="N193" s="75">
        <v>41.678</v>
      </c>
      <c r="O193" s="75">
        <f t="shared" si="18"/>
        <v>12003.264</v>
      </c>
    </row>
    <row r="194" s="56" customFormat="1" ht="13.9" customHeight="1" spans="1:15">
      <c r="A194" s="74">
        <f t="shared" si="23"/>
        <v>180</v>
      </c>
      <c r="B194" s="39">
        <v>6001207</v>
      </c>
      <c r="C194" s="39" t="s">
        <v>336</v>
      </c>
      <c r="D194" s="39">
        <v>5</v>
      </c>
      <c r="E194" s="39">
        <v>48</v>
      </c>
      <c r="F194" s="39">
        <v>240</v>
      </c>
      <c r="G194" s="39" t="s">
        <v>58</v>
      </c>
      <c r="H194" s="75">
        <v>51</v>
      </c>
      <c r="I194" s="75">
        <f t="shared" si="17"/>
        <v>49.47</v>
      </c>
      <c r="J194" s="75">
        <v>0.276675</v>
      </c>
      <c r="K194" s="39" t="s">
        <v>334</v>
      </c>
      <c r="L194" s="39" t="s">
        <v>335</v>
      </c>
      <c r="M194" s="34">
        <v>907</v>
      </c>
      <c r="N194" s="75">
        <v>41.678</v>
      </c>
      <c r="O194" s="75">
        <f t="shared" si="18"/>
        <v>10002.72</v>
      </c>
    </row>
    <row r="195" s="56" customFormat="1" ht="13.9" customHeight="1" spans="1:15">
      <c r="A195" s="74">
        <f t="shared" si="23"/>
        <v>181</v>
      </c>
      <c r="B195" s="39">
        <v>6001211</v>
      </c>
      <c r="C195" s="39" t="s">
        <v>337</v>
      </c>
      <c r="D195" s="39">
        <v>9</v>
      </c>
      <c r="E195" s="39">
        <v>16</v>
      </c>
      <c r="F195" s="39">
        <v>144</v>
      </c>
      <c r="G195" s="39" t="s">
        <v>26</v>
      </c>
      <c r="H195" s="75">
        <v>49.5</v>
      </c>
      <c r="I195" s="75">
        <f t="shared" si="17"/>
        <v>48.015</v>
      </c>
      <c r="J195" s="75">
        <v>0.26937</v>
      </c>
      <c r="K195" s="39" t="s">
        <v>325</v>
      </c>
      <c r="L195" s="39" t="s">
        <v>326</v>
      </c>
      <c r="M195" s="34">
        <v>907</v>
      </c>
      <c r="N195" s="75">
        <v>41.678</v>
      </c>
      <c r="O195" s="75">
        <f t="shared" si="18"/>
        <v>6001.632</v>
      </c>
    </row>
    <row r="196" s="56" customFormat="1" ht="13.9" customHeight="1" spans="1:15">
      <c r="A196" s="74">
        <f t="shared" ref="A196:A205" si="24">ROW()-14</f>
        <v>182</v>
      </c>
      <c r="B196" s="39">
        <v>6001216</v>
      </c>
      <c r="C196" s="39" t="s">
        <v>338</v>
      </c>
      <c r="D196" s="39">
        <v>4</v>
      </c>
      <c r="E196" s="39">
        <v>36</v>
      </c>
      <c r="F196" s="39">
        <v>144</v>
      </c>
      <c r="G196" s="39" t="s">
        <v>26</v>
      </c>
      <c r="H196" s="75">
        <v>47.2</v>
      </c>
      <c r="I196" s="75">
        <f t="shared" si="17"/>
        <v>45.784</v>
      </c>
      <c r="J196" s="75">
        <v>0.163744</v>
      </c>
      <c r="K196" s="39">
        <v>8205598000</v>
      </c>
      <c r="L196" s="39" t="s">
        <v>303</v>
      </c>
      <c r="M196" s="34">
        <v>907</v>
      </c>
      <c r="N196" s="75">
        <v>41.678</v>
      </c>
      <c r="O196" s="75">
        <f t="shared" si="18"/>
        <v>6001.632</v>
      </c>
    </row>
    <row r="197" s="56" customFormat="1" ht="13.9" customHeight="1" spans="1:15">
      <c r="A197" s="74">
        <f t="shared" si="24"/>
        <v>183</v>
      </c>
      <c r="B197" s="39">
        <v>6001222</v>
      </c>
      <c r="C197" s="39" t="s">
        <v>339</v>
      </c>
      <c r="D197" s="39">
        <v>1</v>
      </c>
      <c r="E197" s="39">
        <v>24</v>
      </c>
      <c r="F197" s="39">
        <v>24</v>
      </c>
      <c r="G197" s="39" t="s">
        <v>26</v>
      </c>
      <c r="H197" s="75">
        <v>6.5</v>
      </c>
      <c r="I197" s="75">
        <f t="shared" si="17"/>
        <v>6.305</v>
      </c>
      <c r="J197" s="75">
        <v>0.033524</v>
      </c>
      <c r="K197" s="39">
        <v>8205598000</v>
      </c>
      <c r="L197" s="39" t="s">
        <v>340</v>
      </c>
      <c r="M197" s="34">
        <v>907</v>
      </c>
      <c r="N197" s="75">
        <v>41.678</v>
      </c>
      <c r="O197" s="75">
        <f t="shared" si="18"/>
        <v>1000.272</v>
      </c>
    </row>
    <row r="198" s="56" customFormat="1" ht="13.9" customHeight="1" spans="1:15">
      <c r="A198" s="74">
        <f t="shared" si="24"/>
        <v>184</v>
      </c>
      <c r="B198" s="39">
        <v>9067884</v>
      </c>
      <c r="C198" s="39" t="s">
        <v>341</v>
      </c>
      <c r="D198" s="39">
        <v>2</v>
      </c>
      <c r="E198" s="39">
        <v>100</v>
      </c>
      <c r="F198" s="39">
        <v>200</v>
      </c>
      <c r="G198" s="39" t="s">
        <v>26</v>
      </c>
      <c r="H198" s="75">
        <v>4.6</v>
      </c>
      <c r="I198" s="75">
        <f t="shared" si="17"/>
        <v>4.462</v>
      </c>
      <c r="J198" s="75">
        <v>0.09802</v>
      </c>
      <c r="K198" s="39">
        <v>9505900000</v>
      </c>
      <c r="L198" s="39" t="s">
        <v>342</v>
      </c>
      <c r="M198" s="34">
        <v>906</v>
      </c>
      <c r="N198" s="75">
        <v>3.3</v>
      </c>
      <c r="O198" s="75">
        <f t="shared" si="18"/>
        <v>660</v>
      </c>
    </row>
    <row r="199" s="56" customFormat="1" ht="13.9" customHeight="1" spans="1:15">
      <c r="A199" s="74">
        <f t="shared" si="24"/>
        <v>185</v>
      </c>
      <c r="B199" s="39">
        <v>8963146</v>
      </c>
      <c r="C199" s="39" t="s">
        <v>343</v>
      </c>
      <c r="D199" s="39">
        <v>2</v>
      </c>
      <c r="E199" s="39">
        <v>1440</v>
      </c>
      <c r="F199" s="39">
        <v>2880</v>
      </c>
      <c r="G199" s="39" t="s">
        <v>26</v>
      </c>
      <c r="H199" s="75">
        <v>44.6</v>
      </c>
      <c r="I199" s="75">
        <f t="shared" si="17"/>
        <v>43.262</v>
      </c>
      <c r="J199" s="75">
        <v>0.4232</v>
      </c>
      <c r="K199" s="39">
        <v>9503009990</v>
      </c>
      <c r="L199" s="39" t="s">
        <v>344</v>
      </c>
      <c r="M199" s="34">
        <v>901</v>
      </c>
      <c r="N199" s="75">
        <v>0.9</v>
      </c>
      <c r="O199" s="75">
        <f t="shared" si="18"/>
        <v>2592</v>
      </c>
    </row>
    <row r="200" s="56" customFormat="1" ht="13.9" customHeight="1" spans="1:15">
      <c r="A200" s="74">
        <f t="shared" si="24"/>
        <v>186</v>
      </c>
      <c r="B200" s="39">
        <v>8963147</v>
      </c>
      <c r="C200" s="39" t="s">
        <v>345</v>
      </c>
      <c r="D200" s="39">
        <v>2</v>
      </c>
      <c r="E200" s="39">
        <v>1440</v>
      </c>
      <c r="F200" s="39">
        <v>2880</v>
      </c>
      <c r="G200" s="39" t="s">
        <v>26</v>
      </c>
      <c r="H200" s="75">
        <v>44</v>
      </c>
      <c r="I200" s="75">
        <f t="shared" si="17"/>
        <v>42.68</v>
      </c>
      <c r="J200" s="75">
        <v>0.4232</v>
      </c>
      <c r="K200" s="39">
        <v>9503009990</v>
      </c>
      <c r="L200" s="39" t="s">
        <v>344</v>
      </c>
      <c r="M200" s="34">
        <v>901</v>
      </c>
      <c r="N200" s="75">
        <v>0.9</v>
      </c>
      <c r="O200" s="75">
        <f t="shared" si="18"/>
        <v>2592</v>
      </c>
    </row>
    <row r="201" s="56" customFormat="1" ht="13.9" customHeight="1" spans="1:15">
      <c r="A201" s="74">
        <f t="shared" si="24"/>
        <v>187</v>
      </c>
      <c r="B201" s="39">
        <v>8963148</v>
      </c>
      <c r="C201" s="39" t="s">
        <v>346</v>
      </c>
      <c r="D201" s="39">
        <v>2</v>
      </c>
      <c r="E201" s="39">
        <v>1440</v>
      </c>
      <c r="F201" s="39">
        <v>2880</v>
      </c>
      <c r="G201" s="39" t="s">
        <v>26</v>
      </c>
      <c r="H201" s="75">
        <v>44.8</v>
      </c>
      <c r="I201" s="75">
        <f t="shared" si="17"/>
        <v>43.456</v>
      </c>
      <c r="J201" s="75">
        <v>0.4232</v>
      </c>
      <c r="K201" s="39">
        <v>9503009990</v>
      </c>
      <c r="L201" s="39" t="s">
        <v>344</v>
      </c>
      <c r="M201" s="34">
        <v>901</v>
      </c>
      <c r="N201" s="75">
        <v>0.9</v>
      </c>
      <c r="O201" s="75">
        <f t="shared" si="18"/>
        <v>2592</v>
      </c>
    </row>
    <row r="202" s="56" customFormat="1" ht="13.9" customHeight="1" spans="1:15">
      <c r="A202" s="74">
        <f t="shared" si="24"/>
        <v>188</v>
      </c>
      <c r="B202" s="39">
        <v>8963149</v>
      </c>
      <c r="C202" s="39" t="s">
        <v>347</v>
      </c>
      <c r="D202" s="39">
        <v>2</v>
      </c>
      <c r="E202" s="39">
        <v>1440</v>
      </c>
      <c r="F202" s="39">
        <v>2880</v>
      </c>
      <c r="G202" s="39" t="s">
        <v>26</v>
      </c>
      <c r="H202" s="75">
        <v>43.6</v>
      </c>
      <c r="I202" s="75">
        <f t="shared" si="17"/>
        <v>42.292</v>
      </c>
      <c r="J202" s="75">
        <v>0.4232</v>
      </c>
      <c r="K202" s="39">
        <v>9503009990</v>
      </c>
      <c r="L202" s="39" t="s">
        <v>344</v>
      </c>
      <c r="M202" s="34">
        <v>901</v>
      </c>
      <c r="N202" s="75">
        <v>0.9</v>
      </c>
      <c r="O202" s="75">
        <f t="shared" si="18"/>
        <v>2592</v>
      </c>
    </row>
    <row r="203" s="56" customFormat="1" ht="13.9" customHeight="1" spans="1:15">
      <c r="A203" s="74">
        <f t="shared" si="24"/>
        <v>189</v>
      </c>
      <c r="B203" s="39">
        <v>8963150</v>
      </c>
      <c r="C203" s="39" t="s">
        <v>348</v>
      </c>
      <c r="D203" s="39">
        <v>2</v>
      </c>
      <c r="E203" s="39">
        <v>864</v>
      </c>
      <c r="F203" s="39">
        <v>1728</v>
      </c>
      <c r="G203" s="39" t="s">
        <v>26</v>
      </c>
      <c r="H203" s="75">
        <v>37.8</v>
      </c>
      <c r="I203" s="75">
        <f t="shared" si="17"/>
        <v>36.666</v>
      </c>
      <c r="J203" s="75">
        <v>0.33566</v>
      </c>
      <c r="K203" s="39">
        <v>9503009990</v>
      </c>
      <c r="L203" s="39" t="s">
        <v>344</v>
      </c>
      <c r="M203" s="34">
        <v>901</v>
      </c>
      <c r="N203" s="75">
        <v>0.9</v>
      </c>
      <c r="O203" s="75">
        <f t="shared" si="18"/>
        <v>1555.2</v>
      </c>
    </row>
    <row r="204" s="56" customFormat="1" ht="13.9" customHeight="1" spans="1:15">
      <c r="A204" s="74">
        <f t="shared" si="24"/>
        <v>190</v>
      </c>
      <c r="B204" s="39">
        <v>8963151</v>
      </c>
      <c r="C204" s="39" t="s">
        <v>349</v>
      </c>
      <c r="D204" s="39">
        <v>2</v>
      </c>
      <c r="E204" s="39">
        <v>648</v>
      </c>
      <c r="F204" s="39">
        <v>1296</v>
      </c>
      <c r="G204" s="39" t="s">
        <v>26</v>
      </c>
      <c r="H204" s="75">
        <v>31.6</v>
      </c>
      <c r="I204" s="75">
        <f t="shared" si="17"/>
        <v>30.652</v>
      </c>
      <c r="J204" s="75">
        <v>0.30452</v>
      </c>
      <c r="K204" s="39">
        <v>9503009990</v>
      </c>
      <c r="L204" s="39" t="s">
        <v>344</v>
      </c>
      <c r="M204" s="34">
        <v>901</v>
      </c>
      <c r="N204" s="75">
        <v>0.9</v>
      </c>
      <c r="O204" s="75">
        <f t="shared" si="18"/>
        <v>1166.4</v>
      </c>
    </row>
    <row r="205" s="56" customFormat="1" ht="13.9" customHeight="1" spans="1:15">
      <c r="A205" s="74">
        <f t="shared" si="24"/>
        <v>191</v>
      </c>
      <c r="B205" s="39">
        <v>8963152</v>
      </c>
      <c r="C205" s="39" t="s">
        <v>350</v>
      </c>
      <c r="D205" s="39">
        <v>2</v>
      </c>
      <c r="E205" s="39">
        <v>576</v>
      </c>
      <c r="F205" s="39">
        <v>1152</v>
      </c>
      <c r="G205" s="39" t="s">
        <v>26</v>
      </c>
      <c r="H205" s="75">
        <v>31.2</v>
      </c>
      <c r="I205" s="75">
        <f t="shared" si="17"/>
        <v>30.264</v>
      </c>
      <c r="J205" s="75">
        <v>0.27136</v>
      </c>
      <c r="K205" s="39">
        <v>9503009990</v>
      </c>
      <c r="L205" s="39" t="s">
        <v>344</v>
      </c>
      <c r="M205" s="34">
        <v>901</v>
      </c>
      <c r="N205" s="75">
        <v>0.9</v>
      </c>
      <c r="O205" s="75">
        <f t="shared" si="18"/>
        <v>1036.8</v>
      </c>
    </row>
    <row r="206" s="56" customFormat="1" ht="13.9" customHeight="1" spans="1:15">
      <c r="A206" s="74">
        <f t="shared" ref="A206:A215" si="25">ROW()-14</f>
        <v>192</v>
      </c>
      <c r="B206" s="39">
        <v>8963153</v>
      </c>
      <c r="C206" s="39" t="s">
        <v>351</v>
      </c>
      <c r="D206" s="39">
        <v>2</v>
      </c>
      <c r="E206" s="39">
        <v>576</v>
      </c>
      <c r="F206" s="39">
        <v>1152</v>
      </c>
      <c r="G206" s="39" t="s">
        <v>26</v>
      </c>
      <c r="H206" s="75">
        <v>36.4</v>
      </c>
      <c r="I206" s="75">
        <f t="shared" si="17"/>
        <v>35.308</v>
      </c>
      <c r="J206" s="75">
        <v>0.1696</v>
      </c>
      <c r="K206" s="39">
        <v>9503009990</v>
      </c>
      <c r="L206" s="39" t="s">
        <v>344</v>
      </c>
      <c r="M206" s="34">
        <v>901</v>
      </c>
      <c r="N206" s="75">
        <v>0.9</v>
      </c>
      <c r="O206" s="75">
        <f t="shared" si="18"/>
        <v>1036.8</v>
      </c>
    </row>
    <row r="207" s="56" customFormat="1" ht="13.9" customHeight="1" spans="1:15">
      <c r="A207" s="74">
        <f t="shared" si="25"/>
        <v>193</v>
      </c>
      <c r="B207" s="39">
        <v>8962339</v>
      </c>
      <c r="C207" s="39" t="s">
        <v>352</v>
      </c>
      <c r="D207" s="39">
        <v>2</v>
      </c>
      <c r="E207" s="39">
        <v>600</v>
      </c>
      <c r="F207" s="39">
        <v>1200</v>
      </c>
      <c r="G207" s="39" t="s">
        <v>58</v>
      </c>
      <c r="H207" s="75">
        <v>56</v>
      </c>
      <c r="I207" s="75">
        <f t="shared" si="17"/>
        <v>54.32</v>
      </c>
      <c r="J207" s="75">
        <v>0.33</v>
      </c>
      <c r="K207" s="39">
        <v>9505900000</v>
      </c>
      <c r="L207" s="39" t="s">
        <v>84</v>
      </c>
      <c r="M207" s="34" t="s">
        <v>353</v>
      </c>
      <c r="N207" s="75">
        <v>2</v>
      </c>
      <c r="O207" s="75">
        <f t="shared" si="18"/>
        <v>2400</v>
      </c>
    </row>
    <row r="208" s="56" customFormat="1" ht="13.9" customHeight="1" spans="1:15">
      <c r="A208" s="74">
        <f t="shared" si="25"/>
        <v>194</v>
      </c>
      <c r="B208" s="39">
        <v>8955148</v>
      </c>
      <c r="C208" s="39" t="s">
        <v>354</v>
      </c>
      <c r="D208" s="39">
        <v>1</v>
      </c>
      <c r="E208" s="39">
        <v>60</v>
      </c>
      <c r="F208" s="39">
        <v>60</v>
      </c>
      <c r="G208" s="39" t="s">
        <v>58</v>
      </c>
      <c r="H208" s="75">
        <v>23</v>
      </c>
      <c r="I208" s="75">
        <f t="shared" ref="I208:I271" si="26">H208*0.97</f>
        <v>22.31</v>
      </c>
      <c r="J208" s="75">
        <v>0.03516</v>
      </c>
      <c r="K208" s="39">
        <v>3703200000</v>
      </c>
      <c r="L208" s="39" t="s">
        <v>355</v>
      </c>
      <c r="M208" s="34">
        <v>908</v>
      </c>
      <c r="N208" s="75">
        <v>46.5</v>
      </c>
      <c r="O208" s="75">
        <f t="shared" ref="O208:O271" si="27">N208*F208</f>
        <v>2790</v>
      </c>
    </row>
    <row r="209" s="56" customFormat="1" ht="13.9" customHeight="1" spans="1:15">
      <c r="A209" s="74">
        <f t="shared" si="25"/>
        <v>195</v>
      </c>
      <c r="B209" s="39">
        <v>8955150</v>
      </c>
      <c r="C209" s="39" t="s">
        <v>356</v>
      </c>
      <c r="D209" s="39">
        <v>1</v>
      </c>
      <c r="E209" s="39">
        <v>32</v>
      </c>
      <c r="F209" s="39">
        <v>32</v>
      </c>
      <c r="G209" s="39" t="s">
        <v>58</v>
      </c>
      <c r="H209" s="75">
        <v>22</v>
      </c>
      <c r="I209" s="75">
        <f t="shared" si="26"/>
        <v>21.34</v>
      </c>
      <c r="J209" s="75">
        <v>0.03456</v>
      </c>
      <c r="K209" s="39">
        <v>3703200000</v>
      </c>
      <c r="L209" s="39" t="s">
        <v>355</v>
      </c>
      <c r="M209" s="34">
        <v>908</v>
      </c>
      <c r="N209" s="75">
        <v>47</v>
      </c>
      <c r="O209" s="75">
        <f t="shared" si="27"/>
        <v>1504</v>
      </c>
    </row>
    <row r="210" s="56" customFormat="1" ht="13.9" customHeight="1" spans="1:15">
      <c r="A210" s="74">
        <f t="shared" si="25"/>
        <v>196</v>
      </c>
      <c r="B210" s="39">
        <v>6000461</v>
      </c>
      <c r="C210" s="39" t="s">
        <v>357</v>
      </c>
      <c r="D210" s="39">
        <v>15</v>
      </c>
      <c r="E210" s="39">
        <v>24</v>
      </c>
      <c r="F210" s="39">
        <v>360</v>
      </c>
      <c r="G210" s="39" t="s">
        <v>26</v>
      </c>
      <c r="H210" s="75">
        <v>37.5</v>
      </c>
      <c r="I210" s="75">
        <f t="shared" si="26"/>
        <v>36.375</v>
      </c>
      <c r="J210" s="75">
        <v>0.12558</v>
      </c>
      <c r="K210" s="39">
        <v>9405114090</v>
      </c>
      <c r="L210" s="39" t="s">
        <v>358</v>
      </c>
      <c r="M210" s="34">
        <v>902</v>
      </c>
      <c r="N210" s="75">
        <v>0</v>
      </c>
      <c r="O210" s="75">
        <f t="shared" si="27"/>
        <v>0</v>
      </c>
    </row>
    <row r="211" s="56" customFormat="1" ht="13.9" customHeight="1" spans="1:15">
      <c r="A211" s="74">
        <f t="shared" si="25"/>
        <v>197</v>
      </c>
      <c r="B211" s="39">
        <v>9047196</v>
      </c>
      <c r="C211" s="39" t="s">
        <v>359</v>
      </c>
      <c r="D211" s="39">
        <v>3</v>
      </c>
      <c r="E211" s="39">
        <v>60</v>
      </c>
      <c r="F211" s="39">
        <v>180</v>
      </c>
      <c r="G211" s="39" t="s">
        <v>58</v>
      </c>
      <c r="H211" s="75">
        <v>9.9</v>
      </c>
      <c r="I211" s="75">
        <f t="shared" si="26"/>
        <v>9.603</v>
      </c>
      <c r="J211" s="75">
        <v>0.102</v>
      </c>
      <c r="K211" s="39">
        <v>4823904000</v>
      </c>
      <c r="L211" s="39" t="s">
        <v>63</v>
      </c>
      <c r="M211" s="34">
        <v>904</v>
      </c>
      <c r="N211" s="75">
        <v>2.5</v>
      </c>
      <c r="O211" s="75">
        <f t="shared" si="27"/>
        <v>450</v>
      </c>
    </row>
    <row r="212" s="56" customFormat="1" ht="13.9" customHeight="1" spans="1:15">
      <c r="A212" s="74">
        <f t="shared" si="25"/>
        <v>198</v>
      </c>
      <c r="B212" s="39">
        <v>9047197</v>
      </c>
      <c r="C212" s="39" t="s">
        <v>360</v>
      </c>
      <c r="D212" s="39">
        <v>3</v>
      </c>
      <c r="E212" s="39">
        <v>60</v>
      </c>
      <c r="F212" s="39">
        <v>180</v>
      </c>
      <c r="G212" s="39" t="s">
        <v>58</v>
      </c>
      <c r="H212" s="75">
        <v>9.9</v>
      </c>
      <c r="I212" s="75">
        <f t="shared" si="26"/>
        <v>9.603</v>
      </c>
      <c r="J212" s="75">
        <v>0.102</v>
      </c>
      <c r="K212" s="39">
        <v>4823904000</v>
      </c>
      <c r="L212" s="39" t="s">
        <v>63</v>
      </c>
      <c r="M212" s="34">
        <v>904</v>
      </c>
      <c r="N212" s="75">
        <v>2.5</v>
      </c>
      <c r="O212" s="75">
        <f t="shared" si="27"/>
        <v>450</v>
      </c>
    </row>
    <row r="213" s="56" customFormat="1" ht="13.9" customHeight="1" spans="1:15">
      <c r="A213" s="74">
        <f t="shared" si="25"/>
        <v>199</v>
      </c>
      <c r="B213" s="39">
        <v>9047198</v>
      </c>
      <c r="C213" s="39" t="s">
        <v>361</v>
      </c>
      <c r="D213" s="39">
        <v>6</v>
      </c>
      <c r="E213" s="39">
        <v>60</v>
      </c>
      <c r="F213" s="39">
        <v>360</v>
      </c>
      <c r="G213" s="39" t="s">
        <v>58</v>
      </c>
      <c r="H213" s="75">
        <v>45.3</v>
      </c>
      <c r="I213" s="75">
        <f t="shared" si="26"/>
        <v>43.941</v>
      </c>
      <c r="J213" s="75">
        <v>0.234</v>
      </c>
      <c r="K213" s="39">
        <v>4823904000</v>
      </c>
      <c r="L213" s="39" t="s">
        <v>63</v>
      </c>
      <c r="M213" s="34">
        <v>904</v>
      </c>
      <c r="N213" s="75">
        <v>2.5</v>
      </c>
      <c r="O213" s="75">
        <f t="shared" si="27"/>
        <v>900</v>
      </c>
    </row>
    <row r="214" s="56" customFormat="1" ht="13.9" customHeight="1" spans="1:15">
      <c r="A214" s="74">
        <f t="shared" si="25"/>
        <v>200</v>
      </c>
      <c r="B214" s="39">
        <v>9047200</v>
      </c>
      <c r="C214" s="39" t="s">
        <v>362</v>
      </c>
      <c r="D214" s="39">
        <v>3</v>
      </c>
      <c r="E214" s="39">
        <v>60</v>
      </c>
      <c r="F214" s="39">
        <v>180</v>
      </c>
      <c r="G214" s="39" t="s">
        <v>58</v>
      </c>
      <c r="H214" s="75">
        <v>22.5</v>
      </c>
      <c r="I214" s="75">
        <f t="shared" si="26"/>
        <v>21.825</v>
      </c>
      <c r="J214" s="75">
        <v>0.12</v>
      </c>
      <c r="K214" s="39">
        <v>4823904000</v>
      </c>
      <c r="L214" s="39" t="s">
        <v>63</v>
      </c>
      <c r="M214" s="34">
        <v>904</v>
      </c>
      <c r="N214" s="75">
        <v>1</v>
      </c>
      <c r="O214" s="75">
        <f t="shared" si="27"/>
        <v>180</v>
      </c>
    </row>
    <row r="215" s="56" customFormat="1" ht="13.9" customHeight="1" spans="1:15">
      <c r="A215" s="74">
        <f t="shared" si="25"/>
        <v>201</v>
      </c>
      <c r="B215" s="39">
        <v>9047201</v>
      </c>
      <c r="C215" s="39" t="s">
        <v>363</v>
      </c>
      <c r="D215" s="39">
        <v>3</v>
      </c>
      <c r="E215" s="39">
        <v>60</v>
      </c>
      <c r="F215" s="39">
        <v>180</v>
      </c>
      <c r="G215" s="39" t="s">
        <v>58</v>
      </c>
      <c r="H215" s="75">
        <v>17.85</v>
      </c>
      <c r="I215" s="75">
        <f t="shared" si="26"/>
        <v>17.3145</v>
      </c>
      <c r="J215" s="75">
        <v>0.117</v>
      </c>
      <c r="K215" s="39">
        <v>4823904000</v>
      </c>
      <c r="L215" s="39" t="s">
        <v>63</v>
      </c>
      <c r="M215" s="34">
        <v>904</v>
      </c>
      <c r="N215" s="75">
        <v>2.5</v>
      </c>
      <c r="O215" s="75">
        <f t="shared" si="27"/>
        <v>450</v>
      </c>
    </row>
    <row r="216" s="56" customFormat="1" ht="13.9" customHeight="1" spans="1:15">
      <c r="A216" s="74">
        <f t="shared" ref="A216:A225" si="28">ROW()-14</f>
        <v>202</v>
      </c>
      <c r="B216" s="39">
        <v>9047313</v>
      </c>
      <c r="C216" s="39" t="s">
        <v>364</v>
      </c>
      <c r="D216" s="39">
        <v>2</v>
      </c>
      <c r="E216" s="39">
        <v>60</v>
      </c>
      <c r="F216" s="39">
        <v>120</v>
      </c>
      <c r="G216" s="39" t="s">
        <v>58</v>
      </c>
      <c r="H216" s="75">
        <v>16.6</v>
      </c>
      <c r="I216" s="75">
        <f t="shared" si="26"/>
        <v>16.102</v>
      </c>
      <c r="J216" s="75">
        <v>0.12</v>
      </c>
      <c r="K216" s="39">
        <v>4823904000</v>
      </c>
      <c r="L216" s="39" t="s">
        <v>63</v>
      </c>
      <c r="M216" s="34">
        <v>904</v>
      </c>
      <c r="N216" s="75">
        <v>2.5</v>
      </c>
      <c r="O216" s="75">
        <f t="shared" si="27"/>
        <v>300</v>
      </c>
    </row>
    <row r="217" s="56" customFormat="1" ht="13.9" customHeight="1" spans="1:15">
      <c r="A217" s="74">
        <f t="shared" si="28"/>
        <v>203</v>
      </c>
      <c r="B217" s="39">
        <v>9048082</v>
      </c>
      <c r="C217" s="39" t="s">
        <v>365</v>
      </c>
      <c r="D217" s="39">
        <v>6</v>
      </c>
      <c r="E217" s="39">
        <v>60</v>
      </c>
      <c r="F217" s="39">
        <v>360</v>
      </c>
      <c r="G217" s="39" t="s">
        <v>58</v>
      </c>
      <c r="H217" s="75">
        <v>18.6</v>
      </c>
      <c r="I217" s="75">
        <f t="shared" si="26"/>
        <v>18.042</v>
      </c>
      <c r="J217" s="75">
        <v>0.204</v>
      </c>
      <c r="K217" s="39">
        <v>4811900090</v>
      </c>
      <c r="L217" s="39" t="s">
        <v>63</v>
      </c>
      <c r="M217" s="34">
        <v>904</v>
      </c>
      <c r="N217" s="75">
        <v>2.5</v>
      </c>
      <c r="O217" s="75">
        <f t="shared" si="27"/>
        <v>900</v>
      </c>
    </row>
    <row r="218" s="56" customFormat="1" ht="13.9" customHeight="1" spans="1:15">
      <c r="A218" s="74">
        <f t="shared" si="28"/>
        <v>204</v>
      </c>
      <c r="B218" s="39">
        <v>9048083</v>
      </c>
      <c r="C218" s="39" t="s">
        <v>366</v>
      </c>
      <c r="D218" s="39">
        <v>3</v>
      </c>
      <c r="E218" s="39">
        <v>60</v>
      </c>
      <c r="F218" s="39">
        <v>180</v>
      </c>
      <c r="G218" s="39" t="s">
        <v>58</v>
      </c>
      <c r="H218" s="75">
        <v>9.6</v>
      </c>
      <c r="I218" s="75">
        <f t="shared" si="26"/>
        <v>9.312</v>
      </c>
      <c r="J218" s="75">
        <v>0.102</v>
      </c>
      <c r="K218" s="39">
        <v>4811900090</v>
      </c>
      <c r="L218" s="39" t="s">
        <v>63</v>
      </c>
      <c r="M218" s="34">
        <v>904</v>
      </c>
      <c r="N218" s="75">
        <v>2.5</v>
      </c>
      <c r="O218" s="75">
        <f t="shared" si="27"/>
        <v>450</v>
      </c>
    </row>
    <row r="219" s="56" customFormat="1" ht="13.9" customHeight="1" spans="1:15">
      <c r="A219" s="74">
        <f t="shared" si="28"/>
        <v>205</v>
      </c>
      <c r="B219" s="39">
        <v>9048084</v>
      </c>
      <c r="C219" s="39" t="s">
        <v>367</v>
      </c>
      <c r="D219" s="39">
        <v>5</v>
      </c>
      <c r="E219" s="39">
        <v>60</v>
      </c>
      <c r="F219" s="39">
        <v>300</v>
      </c>
      <c r="G219" s="39" t="s">
        <v>58</v>
      </c>
      <c r="H219" s="75">
        <v>32.5</v>
      </c>
      <c r="I219" s="75">
        <f t="shared" si="26"/>
        <v>31.525</v>
      </c>
      <c r="J219" s="75">
        <v>0.1925</v>
      </c>
      <c r="K219" s="39">
        <v>4811900090</v>
      </c>
      <c r="L219" s="39" t="s">
        <v>63</v>
      </c>
      <c r="M219" s="34">
        <v>904</v>
      </c>
      <c r="N219" s="75">
        <v>9.1726</v>
      </c>
      <c r="O219" s="75">
        <f t="shared" si="27"/>
        <v>2751.78</v>
      </c>
    </row>
    <row r="220" s="56" customFormat="1" ht="13.9" customHeight="1" spans="1:15">
      <c r="A220" s="74">
        <f t="shared" si="28"/>
        <v>206</v>
      </c>
      <c r="B220" s="39">
        <v>9048085</v>
      </c>
      <c r="C220" s="39" t="s">
        <v>368</v>
      </c>
      <c r="D220" s="39">
        <v>4</v>
      </c>
      <c r="E220" s="39">
        <v>60</v>
      </c>
      <c r="F220" s="39">
        <v>240</v>
      </c>
      <c r="G220" s="39" t="s">
        <v>58</v>
      </c>
      <c r="H220" s="75">
        <v>31.2</v>
      </c>
      <c r="I220" s="75">
        <f t="shared" si="26"/>
        <v>30.264</v>
      </c>
      <c r="J220" s="75">
        <v>0.154</v>
      </c>
      <c r="K220" s="39">
        <v>4811900090</v>
      </c>
      <c r="L220" s="39" t="s">
        <v>63</v>
      </c>
      <c r="M220" s="34">
        <v>904</v>
      </c>
      <c r="N220" s="75">
        <v>2.5</v>
      </c>
      <c r="O220" s="75">
        <f t="shared" si="27"/>
        <v>600</v>
      </c>
    </row>
    <row r="221" s="56" customFormat="1" ht="13.9" customHeight="1" spans="1:15">
      <c r="A221" s="74">
        <f t="shared" si="28"/>
        <v>207</v>
      </c>
      <c r="B221" s="39">
        <v>9048086</v>
      </c>
      <c r="C221" s="39" t="s">
        <v>369</v>
      </c>
      <c r="D221" s="39">
        <v>5</v>
      </c>
      <c r="E221" s="39">
        <v>60</v>
      </c>
      <c r="F221" s="39">
        <v>300</v>
      </c>
      <c r="G221" s="39" t="s">
        <v>58</v>
      </c>
      <c r="H221" s="75">
        <v>38.5</v>
      </c>
      <c r="I221" s="75">
        <f t="shared" si="26"/>
        <v>37.345</v>
      </c>
      <c r="J221" s="75">
        <v>0.1925</v>
      </c>
      <c r="K221" s="39">
        <v>4811900090</v>
      </c>
      <c r="L221" s="39" t="s">
        <v>63</v>
      </c>
      <c r="M221" s="34">
        <v>904</v>
      </c>
      <c r="N221" s="75">
        <v>2.5</v>
      </c>
      <c r="O221" s="75">
        <f t="shared" si="27"/>
        <v>750</v>
      </c>
    </row>
    <row r="222" s="56" customFormat="1" ht="13.9" customHeight="1" spans="1:15">
      <c r="A222" s="74">
        <f t="shared" si="28"/>
        <v>208</v>
      </c>
      <c r="B222" s="39">
        <v>9048087</v>
      </c>
      <c r="C222" s="39" t="s">
        <v>370</v>
      </c>
      <c r="D222" s="39">
        <v>5</v>
      </c>
      <c r="E222" s="39">
        <v>60</v>
      </c>
      <c r="F222" s="39">
        <v>300</v>
      </c>
      <c r="G222" s="39" t="s">
        <v>58</v>
      </c>
      <c r="H222" s="75">
        <v>38.75</v>
      </c>
      <c r="I222" s="75">
        <f t="shared" si="26"/>
        <v>37.5875</v>
      </c>
      <c r="J222" s="75">
        <v>0.1925</v>
      </c>
      <c r="K222" s="39">
        <v>4811900090</v>
      </c>
      <c r="L222" s="39" t="s">
        <v>63</v>
      </c>
      <c r="M222" s="34">
        <v>904</v>
      </c>
      <c r="N222" s="75">
        <v>2.5</v>
      </c>
      <c r="O222" s="75">
        <f t="shared" si="27"/>
        <v>750</v>
      </c>
    </row>
    <row r="223" s="56" customFormat="1" ht="13.9" customHeight="1" spans="1:15">
      <c r="A223" s="74">
        <f t="shared" si="28"/>
        <v>209</v>
      </c>
      <c r="B223" s="39">
        <v>9048089</v>
      </c>
      <c r="C223" s="39" t="s">
        <v>371</v>
      </c>
      <c r="D223" s="39">
        <v>5</v>
      </c>
      <c r="E223" s="39">
        <v>60</v>
      </c>
      <c r="F223" s="39">
        <v>300</v>
      </c>
      <c r="G223" s="39" t="s">
        <v>58</v>
      </c>
      <c r="H223" s="75">
        <v>38.75</v>
      </c>
      <c r="I223" s="75">
        <f t="shared" si="26"/>
        <v>37.5875</v>
      </c>
      <c r="J223" s="75">
        <v>0.1925</v>
      </c>
      <c r="K223" s="39">
        <v>4811900090</v>
      </c>
      <c r="L223" s="39" t="s">
        <v>63</v>
      </c>
      <c r="M223" s="34">
        <v>904</v>
      </c>
      <c r="N223" s="75">
        <v>2.5</v>
      </c>
      <c r="O223" s="75">
        <f t="shared" si="27"/>
        <v>750</v>
      </c>
    </row>
    <row r="224" s="56" customFormat="1" ht="13.9" customHeight="1" spans="1:15">
      <c r="A224" s="74">
        <f t="shared" si="28"/>
        <v>210</v>
      </c>
      <c r="B224" s="39">
        <v>9048755</v>
      </c>
      <c r="C224" s="39" t="s">
        <v>372</v>
      </c>
      <c r="D224" s="39">
        <v>5</v>
      </c>
      <c r="E224" s="39">
        <v>60</v>
      </c>
      <c r="F224" s="39">
        <v>300</v>
      </c>
      <c r="G224" s="39" t="s">
        <v>58</v>
      </c>
      <c r="H224" s="75">
        <v>18.05</v>
      </c>
      <c r="I224" s="75">
        <f t="shared" si="26"/>
        <v>17.5085</v>
      </c>
      <c r="J224" s="75">
        <v>0.174</v>
      </c>
      <c r="K224" s="39">
        <v>4811900090</v>
      </c>
      <c r="L224" s="39" t="s">
        <v>373</v>
      </c>
      <c r="M224" s="34" t="s">
        <v>28</v>
      </c>
      <c r="N224" s="75">
        <v>5.558</v>
      </c>
      <c r="O224" s="75">
        <f t="shared" si="27"/>
        <v>1667.4</v>
      </c>
    </row>
    <row r="225" s="2" customFormat="1" ht="12.75" spans="1:15">
      <c r="A225" s="86"/>
      <c r="B225" s="28"/>
      <c r="C225" s="87" t="s">
        <v>374</v>
      </c>
      <c r="D225" s="28">
        <f>SUM(D15:D224)</f>
        <v>1179</v>
      </c>
      <c r="E225" s="28"/>
      <c r="F225" s="28">
        <f>SUM(F15:F224)</f>
        <v>81926</v>
      </c>
      <c r="G225" s="28"/>
      <c r="H225" s="88">
        <f>SUM(H15:H224)</f>
        <v>11696.32</v>
      </c>
      <c r="I225" s="88">
        <f t="shared" ref="I225:I254" si="29">H225*0.97</f>
        <v>11345.4304</v>
      </c>
      <c r="J225" s="88"/>
      <c r="K225" s="39"/>
      <c r="L225" s="88"/>
      <c r="M225" s="88"/>
      <c r="N225" s="88"/>
      <c r="O225" s="88">
        <f>SUM(O15:O224)</f>
        <v>600431.6712</v>
      </c>
    </row>
    <row r="226" s="2" customFormat="1" ht="16.5" customHeight="1" spans="1:15">
      <c r="A226" s="89" t="s">
        <v>375</v>
      </c>
      <c r="B226" s="89"/>
      <c r="C226" s="89"/>
      <c r="H226" s="49"/>
      <c r="O226" s="90">
        <f>O225/1000*0.45</f>
        <v>270.19425204</v>
      </c>
    </row>
    <row r="227" s="2" customFormat="1" ht="12.75" spans="1:15">
      <c r="A227" s="48" t="s">
        <v>376</v>
      </c>
      <c r="B227" s="48"/>
      <c r="C227" s="48"/>
      <c r="D227" s="91"/>
      <c r="E227" s="91"/>
      <c r="H227" s="49"/>
    </row>
    <row r="228" s="2" customFormat="1" ht="12.75" spans="1:15">
      <c r="A228" s="48" t="s">
        <v>377</v>
      </c>
      <c r="B228" s="48"/>
      <c r="C228" s="48"/>
      <c r="D228" s="48"/>
      <c r="H228" s="49"/>
    </row>
    <row r="229" s="2" customFormat="1" ht="12.75" spans="1:15">
      <c r="A229" s="48" t="s">
        <v>378</v>
      </c>
      <c r="B229" s="48"/>
      <c r="C229" s="48"/>
      <c r="D229" s="48"/>
      <c r="H229" s="49"/>
    </row>
    <row r="230" spans="1:15">
      <c r="C230" s="7"/>
    </row>
    <row r="231" ht="54" customHeight="1" spans="1:15">
      <c r="A231" s="25" t="s">
        <v>379</v>
      </c>
      <c r="B231" s="25"/>
      <c r="C231" s="25"/>
      <c r="D231" s="25"/>
      <c r="E231" s="25"/>
      <c r="F231" s="25"/>
      <c r="G231" s="25"/>
      <c r="H231" s="25"/>
      <c r="I231" s="25"/>
      <c r="J231" s="25"/>
      <c r="K231" s="25"/>
      <c r="L231" s="25"/>
      <c r="M231" s="25"/>
      <c r="N231" s="25"/>
      <c r="O231" s="25"/>
    </row>
    <row r="240" spans="1:15">
      <c r="K240" s="92"/>
    </row>
  </sheetData>
  <autoFilter xmlns:etc="http://www.wps.cn/officeDocument/2017/etCustomData" ref="A14:O231" etc:filterBottomFollowUsedRange="0">
    <extLst/>
  </autoFilter>
  <mergeCells count="10">
    <mergeCell ref="A1:L1"/>
    <mergeCell ref="A2:L2"/>
    <mergeCell ref="A3:L3"/>
    <mergeCell ref="A5:C5"/>
    <mergeCell ref="A12:C12"/>
    <mergeCell ref="A227:C227"/>
    <mergeCell ref="A228:D228"/>
    <mergeCell ref="A229:D229"/>
    <mergeCell ref="A231:O231"/>
    <mergeCell ref="A6:D10"/>
  </mergeCells>
  <pageMargins left="0.313888888888889" right="0.235416666666667" top="0.55" bottom="0.55" header="0.118055555555556" footer="0.118055555555556"/>
  <pageSetup paperSize="9" scale="58" orientation="portrait"/>
  <headerFooter>
    <oddFooter>&amp;LPAGE &amp;P/&amp;N</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9" tint="0.399853511154515"/>
  </sheetPr>
  <dimension ref="A1:N242"/>
  <sheetViews>
    <sheetView showGridLines="0" topLeftCell="A212" workbookViewId="0">
      <selection activeCell="A6" sqref="A6:D10"/>
    </sheetView>
  </sheetViews>
  <sheetFormatPr defaultColWidth="8.71666666666667" defaultRowHeight="15"/>
  <cols>
    <col min="1" max="1" width="6.28333333333333" style="7" customWidth="1"/>
    <col min="2" max="2" width="11" style="7" customWidth="1"/>
    <col min="3" max="3" width="42.575" style="8" customWidth="1"/>
    <col min="4" max="4" width="7.14166666666667" style="7" customWidth="1"/>
    <col min="5" max="5" width="10" style="7" customWidth="1"/>
    <col min="6" max="6" width="13.1416666666667" style="7" customWidth="1"/>
    <col min="7" max="7" width="11.85" style="7" customWidth="1"/>
    <col min="8" max="8" width="8.28333333333333" style="9" customWidth="1"/>
    <col min="9" max="9" width="11.7166666666667" style="9" customWidth="1"/>
    <col min="10" max="11" width="8.71666666666667" style="7" hidden="1" customWidth="1"/>
    <col min="12" max="12" width="12.85" style="7" hidden="1" customWidth="1"/>
    <col min="13" max="13" width="8.71666666666667" style="7" hidden="1" customWidth="1"/>
    <col min="14" max="16384" width="8.71666666666667" style="7"/>
  </cols>
  <sheetData>
    <row r="1" ht="28.15" customHeight="1" spans="1:13">
      <c r="A1" s="10" t="str">
        <f>PACKINGLIST!A1</f>
        <v>YIWU CHANXI IMPORT AND EXPORT CO., LTD.</v>
      </c>
      <c r="B1" s="10"/>
      <c r="C1" s="10"/>
      <c r="D1" s="10"/>
      <c r="E1" s="10"/>
      <c r="F1" s="10"/>
      <c r="G1" s="10"/>
      <c r="H1" s="10"/>
      <c r="I1" s="10"/>
      <c r="J1" s="11"/>
      <c r="K1" s="11"/>
    </row>
    <row r="2" ht="22.15" customHeight="1" spans="1:13">
      <c r="A2" s="12" t="str">
        <f>PACKINGLIST!A2</f>
        <v>ROOM 202, BUILDING 1, NO. 4, WEST STATION, WESTERN VILLAGE, CHENGXI SUB-DISTRICT, YIWU CITY JINHUA, ZHEJIANG PROVINCE</v>
      </c>
      <c r="B2" s="12"/>
      <c r="C2" s="12"/>
      <c r="D2" s="12"/>
      <c r="E2" s="12"/>
      <c r="F2" s="12"/>
      <c r="G2" s="12"/>
      <c r="H2" s="12"/>
      <c r="I2" s="12"/>
      <c r="J2" s="13"/>
      <c r="K2" s="13"/>
    </row>
    <row r="3" ht="30" spans="1:13">
      <c r="B3" s="14" t="s">
        <v>380</v>
      </c>
      <c r="C3" s="14"/>
      <c r="D3" s="14"/>
      <c r="E3" s="14"/>
      <c r="F3" s="14"/>
      <c r="G3" s="14"/>
      <c r="H3" s="14"/>
      <c r="I3" s="14"/>
      <c r="J3" s="14"/>
      <c r="K3" s="14"/>
    </row>
    <row r="4" spans="1:13">
      <c r="B4" s="15"/>
      <c r="C4" s="15"/>
      <c r="D4" s="15"/>
      <c r="E4" s="15"/>
      <c r="F4" s="15"/>
      <c r="G4" s="15"/>
      <c r="H4" s="16"/>
      <c r="I4" s="16"/>
    </row>
    <row r="5" ht="15.75" spans="1:13">
      <c r="A5" s="17" t="str">
        <f>PACKINGLIST!A5</f>
        <v>BUYER:</v>
      </c>
      <c r="B5" s="17"/>
      <c r="C5" s="7"/>
      <c r="F5" s="7" t="s">
        <v>381</v>
      </c>
      <c r="G5" s="18" t="str">
        <f>PACKINGLIST!I4</f>
        <v>SPVH26-CYW0201(DIY-ASL)</v>
      </c>
      <c r="I5" s="19"/>
    </row>
    <row r="6" ht="15.75" spans="1:13">
      <c r="A6" s="20" t="str">
        <f>PACKINGLIST!A6</f>
        <v>MRDIY TIENDAS, S.L.U.
B06793269
CALLE BRAVO MURILLO, 189
LOCAL COMERCIAL, PLANTA BAJA
28020 MADRID SPAIN</v>
      </c>
      <c r="B6" s="20"/>
      <c r="C6" s="20"/>
      <c r="D6" s="20"/>
      <c r="F6" s="8" t="s">
        <v>6</v>
      </c>
      <c r="G6" s="21">
        <f>PACKINGLIST!I5</f>
        <v>46056</v>
      </c>
      <c r="H6" s="21"/>
      <c r="I6" s="19"/>
    </row>
    <row r="7" ht="15.75" spans="1:13">
      <c r="A7" s="20"/>
      <c r="B7" s="20"/>
      <c r="C7" s="20"/>
      <c r="D7" s="20"/>
      <c r="E7" s="1"/>
      <c r="F7" s="22" t="s">
        <v>382</v>
      </c>
      <c r="G7" s="23">
        <f>G6+14</f>
        <v>46070</v>
      </c>
      <c r="H7" s="23"/>
      <c r="I7" s="19"/>
    </row>
    <row r="8" ht="15.75" spans="1:13">
      <c r="A8" s="20"/>
      <c r="B8" s="20"/>
      <c r="C8" s="20"/>
      <c r="D8" s="20"/>
      <c r="E8" s="1"/>
      <c r="F8" s="18"/>
      <c r="G8" s="18"/>
      <c r="H8" s="19"/>
      <c r="I8" s="19"/>
    </row>
    <row r="9" ht="25" customHeight="1" spans="1:13">
      <c r="A9" s="20"/>
      <c r="B9" s="20"/>
      <c r="C9" s="20"/>
      <c r="D9" s="20"/>
      <c r="E9" s="1"/>
      <c r="F9" s="18"/>
      <c r="G9" s="18"/>
      <c r="H9" s="19"/>
      <c r="I9" s="19"/>
    </row>
    <row r="10" ht="15.75" spans="1:13">
      <c r="A10" s="20"/>
      <c r="B10" s="20"/>
      <c r="C10" s="20"/>
      <c r="D10" s="20"/>
      <c r="E10" s="1"/>
      <c r="F10" s="18"/>
      <c r="G10" s="18"/>
      <c r="H10" s="19"/>
      <c r="I10" s="19"/>
    </row>
    <row r="11" ht="15.75" spans="1:13">
      <c r="A11" s="24" t="s">
        <v>383</v>
      </c>
      <c r="B11" s="25"/>
      <c r="C11" s="25"/>
      <c r="D11" s="25"/>
      <c r="E11" s="1"/>
      <c r="F11" s="18"/>
      <c r="G11" s="18"/>
      <c r="H11" s="19"/>
      <c r="I11" s="19"/>
    </row>
    <row r="12" ht="15.75" spans="1:13">
      <c r="C12" s="7"/>
      <c r="E12" s="1"/>
      <c r="F12" s="18"/>
      <c r="G12" s="18"/>
      <c r="H12" s="19"/>
      <c r="I12" s="19"/>
    </row>
    <row r="13" s="1" customFormat="1" ht="16.15" customHeight="1" spans="1:13">
      <c r="A13" s="26" t="str">
        <f>PACKINGLIST!A13</f>
        <v>FROM : NINGBO</v>
      </c>
      <c r="B13" s="26"/>
      <c r="C13" s="7" t="s">
        <v>384</v>
      </c>
      <c r="D13" s="7"/>
      <c r="E13" s="7"/>
      <c r="F13" s="27"/>
      <c r="G13" s="27"/>
      <c r="H13" s="9"/>
      <c r="I13" s="19"/>
    </row>
    <row r="14" s="2" customFormat="1" ht="38.25" spans="1:13">
      <c r="A14" s="28" t="s">
        <v>10</v>
      </c>
      <c r="B14" s="29" t="s">
        <v>11</v>
      </c>
      <c r="C14" s="28" t="s">
        <v>12</v>
      </c>
      <c r="D14" s="30" t="s">
        <v>13</v>
      </c>
      <c r="E14" s="30" t="s">
        <v>385</v>
      </c>
      <c r="F14" s="30" t="s">
        <v>386</v>
      </c>
      <c r="G14" s="30" t="s">
        <v>16</v>
      </c>
      <c r="H14" s="31" t="s">
        <v>387</v>
      </c>
      <c r="I14" s="32" t="s">
        <v>388</v>
      </c>
      <c r="J14" s="32"/>
      <c r="K14" s="33"/>
    </row>
    <row r="15" s="3" customFormat="1" ht="14" customHeight="1" spans="1:13">
      <c r="A15" s="34">
        <f>ROW()-14</f>
        <v>1</v>
      </c>
      <c r="B15" s="35">
        <f>VLOOKUP('USD INVOICE'!A15,PACKINGLIST!A:H,2,0)</f>
        <v>9049006</v>
      </c>
      <c r="C15" s="35" t="str">
        <f>VLOOKUP(A15,PACKINGLIST!A:I,3,0)</f>
        <v>WINE GIFT BAG (KRAFT) 12*39*9CM</v>
      </c>
      <c r="D15" s="35">
        <f>VLOOKUP(A15,PACKINGLIST!A:H,4,0)</f>
        <v>3</v>
      </c>
      <c r="E15" s="35">
        <f>VLOOKUP(A15,PACKINGLIST!A:H,5,0)</f>
        <v>360</v>
      </c>
      <c r="F15" s="35">
        <f>VLOOKUP(A15,PACKINGLIST!A:H,6,0)</f>
        <v>1080</v>
      </c>
      <c r="G15" s="35" t="str">
        <f>VLOOKUP(A15,PACKINGLIST!A:H,7,0)</f>
        <v>PCS</v>
      </c>
      <c r="H15" s="36">
        <v>0.1153</v>
      </c>
      <c r="I15" s="37">
        <f>F15*H15</f>
        <v>124.524</v>
      </c>
      <c r="J15" s="38">
        <f>F15*L15-F15*M15</f>
        <v>0</v>
      </c>
      <c r="K15" s="39"/>
      <c r="L15" s="3">
        <f>K15/7.09</f>
        <v>0</v>
      </c>
      <c r="M15" s="3">
        <f>ROUND(L15,4)</f>
        <v>0</v>
      </c>
    </row>
    <row r="16" s="3" customFormat="1" ht="14" customHeight="1" spans="1:13">
      <c r="A16" s="34">
        <f t="shared" ref="A16:A25" si="0">ROW()-14</f>
        <v>2</v>
      </c>
      <c r="B16" s="35">
        <f>VLOOKUP('USD INVOICE'!A16,PACKINGLIST!A:H,2,0)</f>
        <v>9049007</v>
      </c>
      <c r="C16" s="35" t="str">
        <f>VLOOKUP(A16,PACKINGLIST!A:I,3,0)</f>
        <v>WINE GIFT BAG (KRAFT) 18*36*8.5CM</v>
      </c>
      <c r="D16" s="35">
        <f>VLOOKUP(A16,PACKINGLIST!A:H,4,0)</f>
        <v>1</v>
      </c>
      <c r="E16" s="35">
        <f>VLOOKUP(A16,PACKINGLIST!A:H,5,0)</f>
        <v>240</v>
      </c>
      <c r="F16" s="35">
        <f>VLOOKUP(A16,PACKINGLIST!A:H,6,0)</f>
        <v>240</v>
      </c>
      <c r="G16" s="35" t="str">
        <f>VLOOKUP(A16,PACKINGLIST!A:H,7,0)</f>
        <v>PCS</v>
      </c>
      <c r="H16" s="36">
        <v>0.1354</v>
      </c>
      <c r="I16" s="37">
        <f t="shared" ref="I16:I79" si="1">F16*H16</f>
        <v>32.496</v>
      </c>
      <c r="J16" s="38">
        <f t="shared" ref="J16:J79" si="2">F16*L16-F16*M16</f>
        <v>0</v>
      </c>
      <c r="K16" s="39"/>
      <c r="L16" s="3">
        <f t="shared" ref="L16:L79" si="3">K16/7.09</f>
        <v>0</v>
      </c>
      <c r="M16" s="3">
        <f t="shared" ref="M16:M79" si="4">ROUND(L16,4)</f>
        <v>0</v>
      </c>
    </row>
    <row r="17" s="3" customFormat="1" ht="14" customHeight="1" spans="1:13">
      <c r="A17" s="34">
        <f t="shared" si="0"/>
        <v>3</v>
      </c>
      <c r="B17" s="35">
        <f>VLOOKUP('USD INVOICE'!A17,PACKINGLIST!A:H,2,0)</f>
        <v>9046201</v>
      </c>
      <c r="C17" s="35" t="str">
        <f>VLOOKUP(A17,PACKINGLIST!A:I,3,0)</f>
        <v>PAPER BAG 33*25.5*12.5#</v>
      </c>
      <c r="D17" s="35">
        <f>VLOOKUP(A17,PACKINGLIST!A:H,4,0)</f>
        <v>1</v>
      </c>
      <c r="E17" s="35">
        <f>VLOOKUP(A17,PACKINGLIST!A:H,5,0)</f>
        <v>240</v>
      </c>
      <c r="F17" s="35">
        <f>VLOOKUP(A17,PACKINGLIST!A:H,6,0)</f>
        <v>240</v>
      </c>
      <c r="G17" s="35" t="str">
        <f>VLOOKUP(A17,PACKINGLIST!A:H,7,0)</f>
        <v>PCS</v>
      </c>
      <c r="H17" s="36">
        <v>0.1801</v>
      </c>
      <c r="I17" s="37">
        <f t="shared" si="1"/>
        <v>43.224</v>
      </c>
      <c r="J17" s="38">
        <f t="shared" si="2"/>
        <v>0</v>
      </c>
      <c r="K17" s="39"/>
      <c r="L17" s="3">
        <f t="shared" si="3"/>
        <v>0</v>
      </c>
      <c r="M17" s="3">
        <f t="shared" si="4"/>
        <v>0</v>
      </c>
    </row>
    <row r="18" s="3" customFormat="1" ht="14" customHeight="1" spans="1:13">
      <c r="A18" s="34">
        <f t="shared" si="0"/>
        <v>4</v>
      </c>
      <c r="B18" s="35">
        <f>VLOOKUP('USD INVOICE'!A18,PACKINGLIST!A:H,2,0)</f>
        <v>9046203</v>
      </c>
      <c r="C18" s="35" t="str">
        <f>VLOOKUP(A18,PACKINGLIST!A:I,3,0)</f>
        <v>PAPER BAG 32*25.5*11#</v>
      </c>
      <c r="D18" s="35">
        <f>VLOOKUP(A18,PACKINGLIST!A:H,4,0)</f>
        <v>1</v>
      </c>
      <c r="E18" s="35">
        <f>VLOOKUP(A18,PACKINGLIST!A:H,5,0)</f>
        <v>240</v>
      </c>
      <c r="F18" s="35">
        <f>VLOOKUP(A18,PACKINGLIST!A:H,6,0)</f>
        <v>240</v>
      </c>
      <c r="G18" s="35" t="str">
        <f>VLOOKUP(A18,PACKINGLIST!A:H,7,0)</f>
        <v>PCS</v>
      </c>
      <c r="H18" s="36">
        <v>0.1801</v>
      </c>
      <c r="I18" s="37">
        <f t="shared" si="1"/>
        <v>43.224</v>
      </c>
      <c r="J18" s="38">
        <f t="shared" si="2"/>
        <v>0</v>
      </c>
      <c r="K18" s="39"/>
      <c r="L18" s="3">
        <f t="shared" si="3"/>
        <v>0</v>
      </c>
      <c r="M18" s="3">
        <f t="shared" si="4"/>
        <v>0</v>
      </c>
    </row>
    <row r="19" s="3" customFormat="1" ht="14" customHeight="1" spans="1:13">
      <c r="A19" s="34">
        <f t="shared" si="0"/>
        <v>5</v>
      </c>
      <c r="B19" s="35">
        <f>VLOOKUP('USD INVOICE'!A19,PACKINGLIST!A:H,2,0)</f>
        <v>9046512</v>
      </c>
      <c r="C19" s="35" t="str">
        <f>VLOOKUP(A19,PACKINGLIST!A:I,3,0)</f>
        <v>PAPER BAG 45*31*19CM</v>
      </c>
      <c r="D19" s="35">
        <f>VLOOKUP(A19,PACKINGLIST!A:H,4,0)</f>
        <v>5</v>
      </c>
      <c r="E19" s="35">
        <f>VLOOKUP(A19,PACKINGLIST!A:H,5,0)</f>
        <v>144</v>
      </c>
      <c r="F19" s="35">
        <f>VLOOKUP(A19,PACKINGLIST!A:H,6,0)</f>
        <v>720</v>
      </c>
      <c r="G19" s="35" t="str">
        <f>VLOOKUP(A19,PACKINGLIST!A:H,7,0)</f>
        <v>PCS</v>
      </c>
      <c r="H19" s="36">
        <v>0.281</v>
      </c>
      <c r="I19" s="37">
        <f t="shared" si="1"/>
        <v>202.32</v>
      </c>
      <c r="J19" s="38">
        <f t="shared" si="2"/>
        <v>0</v>
      </c>
      <c r="K19" s="39"/>
      <c r="L19" s="3">
        <f t="shared" si="3"/>
        <v>0</v>
      </c>
      <c r="M19" s="3">
        <f t="shared" si="4"/>
        <v>0</v>
      </c>
    </row>
    <row r="20" s="3" customFormat="1" ht="14" customHeight="1" spans="1:13">
      <c r="A20" s="34">
        <f t="shared" si="0"/>
        <v>6</v>
      </c>
      <c r="B20" s="35">
        <f>VLOOKUP('USD INVOICE'!A20,PACKINGLIST!A:H,2,0)</f>
        <v>9086598</v>
      </c>
      <c r="C20" s="35" t="str">
        <f>VLOOKUP(A20,PACKINGLIST!A:I,3,0)</f>
        <v>PAPER BAG - M 27*19*9CM</v>
      </c>
      <c r="D20" s="35">
        <f>VLOOKUP(A20,PACKINGLIST!A:H,4,0)</f>
        <v>1</v>
      </c>
      <c r="E20" s="35">
        <f>VLOOKUP(A20,PACKINGLIST!A:H,5,0)</f>
        <v>360</v>
      </c>
      <c r="F20" s="35">
        <f>VLOOKUP(A20,PACKINGLIST!A:H,6,0)</f>
        <v>360</v>
      </c>
      <c r="G20" s="35" t="str">
        <f>VLOOKUP(A20,PACKINGLIST!A:H,7,0)</f>
        <v>PCS</v>
      </c>
      <c r="H20" s="36">
        <v>0.1297</v>
      </c>
      <c r="I20" s="37">
        <f t="shared" si="1"/>
        <v>46.692</v>
      </c>
      <c r="J20" s="38">
        <f t="shared" si="2"/>
        <v>0</v>
      </c>
      <c r="K20" s="39"/>
      <c r="L20" s="3">
        <f t="shared" si="3"/>
        <v>0</v>
      </c>
      <c r="M20" s="3">
        <f t="shared" si="4"/>
        <v>0</v>
      </c>
    </row>
    <row r="21" s="3" customFormat="1" ht="14" customHeight="1" spans="1:13">
      <c r="A21" s="34">
        <f t="shared" si="0"/>
        <v>7</v>
      </c>
      <c r="B21" s="35">
        <f>VLOOKUP('USD INVOICE'!A21,PACKINGLIST!A:H,2,0)</f>
        <v>9086600</v>
      </c>
      <c r="C21" s="35" t="str">
        <f>VLOOKUP(A21,PACKINGLIST!A:I,3,0)</f>
        <v>PAPER BAG - L 37*27.8*10CM</v>
      </c>
      <c r="D21" s="35">
        <f>VLOOKUP(A21,PACKINGLIST!A:H,4,0)</f>
        <v>3</v>
      </c>
      <c r="E21" s="35">
        <f>VLOOKUP(A21,PACKINGLIST!A:H,5,0)</f>
        <v>240</v>
      </c>
      <c r="F21" s="35">
        <f>VLOOKUP(A21,PACKINGLIST!A:H,6,0)</f>
        <v>720</v>
      </c>
      <c r="G21" s="35" t="str">
        <f>VLOOKUP(A21,PACKINGLIST!A:H,7,0)</f>
        <v>PCS</v>
      </c>
      <c r="H21" s="36">
        <v>0.1513</v>
      </c>
      <c r="I21" s="37">
        <f t="shared" si="1"/>
        <v>108.936</v>
      </c>
      <c r="J21" s="38">
        <f t="shared" si="2"/>
        <v>0</v>
      </c>
      <c r="K21" s="39"/>
      <c r="L21" s="3">
        <f t="shared" si="3"/>
        <v>0</v>
      </c>
      <c r="M21" s="3">
        <f t="shared" si="4"/>
        <v>0</v>
      </c>
    </row>
    <row r="22" s="3" customFormat="1" ht="14" customHeight="1" spans="1:13">
      <c r="A22" s="34">
        <f t="shared" si="0"/>
        <v>8</v>
      </c>
      <c r="B22" s="35">
        <f>VLOOKUP('USD INVOICE'!A22,PACKINGLIST!A:H,2,0)</f>
        <v>9005418</v>
      </c>
      <c r="C22" s="35" t="str">
        <f>VLOOKUP(A22,PACKINGLIST!A:I,3,0)</f>
        <v>CAR NECK SUPPORT -SG0208</v>
      </c>
      <c r="D22" s="35">
        <f>VLOOKUP(A22,PACKINGLIST!A:H,4,0)</f>
        <v>7</v>
      </c>
      <c r="E22" s="35">
        <f>VLOOKUP(A22,PACKINGLIST!A:H,5,0)</f>
        <v>30</v>
      </c>
      <c r="F22" s="35">
        <f>VLOOKUP(A22,PACKINGLIST!A:H,6,0)</f>
        <v>210</v>
      </c>
      <c r="G22" s="35" t="str">
        <f>VLOOKUP(A22,PACKINGLIST!A:H,7,0)</f>
        <v>PCS</v>
      </c>
      <c r="H22" s="36">
        <v>2.3055</v>
      </c>
      <c r="I22" s="37">
        <f t="shared" si="1"/>
        <v>484.155</v>
      </c>
      <c r="J22" s="38">
        <f t="shared" si="2"/>
        <v>0</v>
      </c>
      <c r="K22" s="39"/>
      <c r="L22" s="3">
        <f t="shared" si="3"/>
        <v>0</v>
      </c>
      <c r="M22" s="3">
        <f t="shared" si="4"/>
        <v>0</v>
      </c>
    </row>
    <row r="23" s="3" customFormat="1" ht="14" customHeight="1" spans="1:13">
      <c r="A23" s="34">
        <f t="shared" si="0"/>
        <v>9</v>
      </c>
      <c r="B23" s="35">
        <f>VLOOKUP('USD INVOICE'!A23,PACKINGLIST!A:H,2,0)</f>
        <v>9005420</v>
      </c>
      <c r="C23" s="35" t="str">
        <f>VLOOKUP(A23,PACKINGLIST!A:I,3,0)</f>
        <v>CAR NECK SUPPORT -SG0210</v>
      </c>
      <c r="D23" s="35">
        <f>VLOOKUP(A23,PACKINGLIST!A:H,4,0)</f>
        <v>7</v>
      </c>
      <c r="E23" s="35">
        <f>VLOOKUP(A23,PACKINGLIST!A:H,5,0)</f>
        <v>30</v>
      </c>
      <c r="F23" s="35">
        <f>VLOOKUP(A23,PACKINGLIST!A:H,6,0)</f>
        <v>210</v>
      </c>
      <c r="G23" s="35" t="str">
        <f>VLOOKUP(A23,PACKINGLIST!A:H,7,0)</f>
        <v>PCS</v>
      </c>
      <c r="H23" s="36">
        <v>2.1326</v>
      </c>
      <c r="I23" s="37">
        <f t="shared" si="1"/>
        <v>447.846</v>
      </c>
      <c r="J23" s="38">
        <f t="shared" si="2"/>
        <v>0</v>
      </c>
      <c r="K23" s="39"/>
      <c r="L23" s="3">
        <f t="shared" si="3"/>
        <v>0</v>
      </c>
      <c r="M23" s="3">
        <f t="shared" si="4"/>
        <v>0</v>
      </c>
    </row>
    <row r="24" s="3" customFormat="1" ht="14" customHeight="1" spans="1:13">
      <c r="A24" s="34">
        <f t="shared" si="0"/>
        <v>10</v>
      </c>
      <c r="B24" s="35">
        <f>VLOOKUP('USD INVOICE'!A24,PACKINGLIST!A:H,2,0)</f>
        <v>9005421</v>
      </c>
      <c r="C24" s="35" t="str">
        <f>VLOOKUP(A24,PACKINGLIST!A:I,3,0)</f>
        <v>CAR LUMBAR SUPPORT -SG0211</v>
      </c>
      <c r="D24" s="35">
        <f>VLOOKUP(A24,PACKINGLIST!A:H,4,0)</f>
        <v>17</v>
      </c>
      <c r="E24" s="35">
        <f>VLOOKUP(A24,PACKINGLIST!A:H,5,0)</f>
        <v>8</v>
      </c>
      <c r="F24" s="35">
        <f>VLOOKUP(A24,PACKINGLIST!A:H,6,0)</f>
        <v>136</v>
      </c>
      <c r="G24" s="35" t="str">
        <f>VLOOKUP(A24,PACKINGLIST!A:H,7,0)</f>
        <v>PCS</v>
      </c>
      <c r="H24" s="36">
        <v>2.781</v>
      </c>
      <c r="I24" s="37">
        <f t="shared" si="1"/>
        <v>378.216</v>
      </c>
      <c r="J24" s="38">
        <f t="shared" si="2"/>
        <v>0</v>
      </c>
      <c r="K24" s="39"/>
      <c r="L24" s="3">
        <f t="shared" si="3"/>
        <v>0</v>
      </c>
      <c r="M24" s="3">
        <f t="shared" si="4"/>
        <v>0</v>
      </c>
    </row>
    <row r="25" s="3" customFormat="1" ht="14" customHeight="1" spans="1:13">
      <c r="A25" s="34">
        <f t="shared" si="0"/>
        <v>11</v>
      </c>
      <c r="B25" s="35">
        <f>VLOOKUP('USD INVOICE'!A25,PACKINGLIST!A:H,2,0)</f>
        <v>9004742</v>
      </c>
      <c r="C25" s="35" t="str">
        <f>VLOOKUP(A25,PACKINGLIST!A:I,3,0)</f>
        <v>MEMORY FOAM HEAD REST -EM022HS</v>
      </c>
      <c r="D25" s="35">
        <f>VLOOKUP(A25,PACKINGLIST!A:H,4,0)</f>
        <v>6</v>
      </c>
      <c r="E25" s="35">
        <f>VLOOKUP(A25,PACKINGLIST!A:H,5,0)</f>
        <v>16</v>
      </c>
      <c r="F25" s="35">
        <f>VLOOKUP(A25,PACKINGLIST!A:H,6,0)</f>
        <v>96</v>
      </c>
      <c r="G25" s="35" t="str">
        <f>VLOOKUP(A25,PACKINGLIST!A:H,7,0)</f>
        <v>PCS</v>
      </c>
      <c r="H25" s="36">
        <v>1.4121</v>
      </c>
      <c r="I25" s="37">
        <f t="shared" si="1"/>
        <v>135.5616</v>
      </c>
      <c r="J25" s="38">
        <f t="shared" si="2"/>
        <v>0</v>
      </c>
      <c r="K25" s="39"/>
      <c r="L25" s="3">
        <f t="shared" si="3"/>
        <v>0</v>
      </c>
      <c r="M25" s="3">
        <f t="shared" si="4"/>
        <v>0</v>
      </c>
    </row>
    <row r="26" s="3" customFormat="1" ht="14" customHeight="1" spans="1:13">
      <c r="A26" s="34">
        <f t="shared" ref="A26:A35" si="5">ROW()-14</f>
        <v>12</v>
      </c>
      <c r="B26" s="35">
        <f>VLOOKUP('USD INVOICE'!A26,PACKINGLIST!A:H,2,0)</f>
        <v>9004860</v>
      </c>
      <c r="C26" s="35" t="str">
        <f>VLOOKUP(A26,PACKINGLIST!A:I,3,0)</f>
        <v>ANTI SLIP MAT -EM058</v>
      </c>
      <c r="D26" s="35">
        <f>VLOOKUP(A26,PACKINGLIST!A:H,4,0)</f>
        <v>1</v>
      </c>
      <c r="E26" s="35">
        <f>VLOOKUP(A26,PACKINGLIST!A:H,5,0)</f>
        <v>200</v>
      </c>
      <c r="F26" s="35">
        <f>VLOOKUP(A26,PACKINGLIST!A:H,6,0)</f>
        <v>200</v>
      </c>
      <c r="G26" s="35" t="str">
        <f>VLOOKUP(A26,PACKINGLIST!A:H,7,0)</f>
        <v>PCS</v>
      </c>
      <c r="H26" s="36">
        <v>0.5764</v>
      </c>
      <c r="I26" s="37">
        <f t="shared" si="1"/>
        <v>115.28</v>
      </c>
      <c r="J26" s="38">
        <f t="shared" si="2"/>
        <v>0</v>
      </c>
      <c r="K26" s="39"/>
      <c r="L26" s="3">
        <f t="shared" si="3"/>
        <v>0</v>
      </c>
      <c r="M26" s="3">
        <f t="shared" si="4"/>
        <v>0</v>
      </c>
    </row>
    <row r="27" s="3" customFormat="1" ht="14" customHeight="1" spans="1:13">
      <c r="A27" s="34">
        <f t="shared" si="5"/>
        <v>13</v>
      </c>
      <c r="B27" s="35">
        <f>VLOOKUP('USD INVOICE'!A27,PACKINGLIST!A:H,2,0)</f>
        <v>9004861</v>
      </c>
      <c r="C27" s="35" t="str">
        <f>VLOOKUP(A27,PACKINGLIST!A:I,3,0)</f>
        <v>CAR DOOR SEAL STRIP -EM059</v>
      </c>
      <c r="D27" s="35">
        <f>VLOOKUP(A27,PACKINGLIST!A:H,4,0)</f>
        <v>1</v>
      </c>
      <c r="E27" s="35">
        <f>VLOOKUP(A27,PACKINGLIST!A:H,5,0)</f>
        <v>50</v>
      </c>
      <c r="F27" s="35">
        <f>VLOOKUP(A27,PACKINGLIST!A:H,6,0)</f>
        <v>50</v>
      </c>
      <c r="G27" s="35" t="str">
        <f>VLOOKUP(A27,PACKINGLIST!A:H,7,0)</f>
        <v>PCS</v>
      </c>
      <c r="H27" s="36">
        <v>0.8646</v>
      </c>
      <c r="I27" s="37">
        <f t="shared" si="1"/>
        <v>43.23</v>
      </c>
      <c r="J27" s="38">
        <f t="shared" si="2"/>
        <v>0</v>
      </c>
      <c r="K27" s="39"/>
      <c r="L27" s="3">
        <f t="shared" si="3"/>
        <v>0</v>
      </c>
      <c r="M27" s="3">
        <f t="shared" si="4"/>
        <v>0</v>
      </c>
    </row>
    <row r="28" s="3" customFormat="1" ht="14" customHeight="1" spans="1:13">
      <c r="A28" s="34">
        <f t="shared" si="5"/>
        <v>14</v>
      </c>
      <c r="B28" s="35">
        <f>VLOOKUP('USD INVOICE'!A28,PACKINGLIST!A:H,2,0)</f>
        <v>9005066</v>
      </c>
      <c r="C28" s="35" t="str">
        <f>VLOOKUP(A28,PACKINGLIST!A:I,3,0)</f>
        <v>CAR SEAT GAP ORGANISER -EM068</v>
      </c>
      <c r="D28" s="35">
        <f>VLOOKUP(A28,PACKINGLIST!A:H,4,0)</f>
        <v>2</v>
      </c>
      <c r="E28" s="35">
        <f>VLOOKUP(A28,PACKINGLIST!A:H,5,0)</f>
        <v>50</v>
      </c>
      <c r="F28" s="35">
        <f>VLOOKUP(A28,PACKINGLIST!A:H,6,0)</f>
        <v>100</v>
      </c>
      <c r="G28" s="35" t="str">
        <f>VLOOKUP(A28,PACKINGLIST!A:H,7,0)</f>
        <v>PCS</v>
      </c>
      <c r="H28" s="36">
        <v>0.8357</v>
      </c>
      <c r="I28" s="37">
        <f t="shared" si="1"/>
        <v>83.57</v>
      </c>
      <c r="J28" s="38">
        <f t="shared" si="2"/>
        <v>0</v>
      </c>
      <c r="K28" s="39"/>
      <c r="L28" s="3">
        <f t="shared" si="3"/>
        <v>0</v>
      </c>
      <c r="M28" s="3">
        <f t="shared" si="4"/>
        <v>0</v>
      </c>
    </row>
    <row r="29" s="3" customFormat="1" ht="14" customHeight="1" spans="1:13">
      <c r="A29" s="34">
        <f t="shared" si="5"/>
        <v>15</v>
      </c>
      <c r="B29" s="35">
        <f>VLOOKUP('USD INVOICE'!A29,PACKINGLIST!A:H,2,0)</f>
        <v>9005092</v>
      </c>
      <c r="C29" s="35" t="str">
        <f>VLOOKUP(A29,PACKINGLIST!A:I,3,0)</f>
        <v>STEERING COVER -EC007</v>
      </c>
      <c r="D29" s="35">
        <f>VLOOKUP(A29,PACKINGLIST!A:H,4,0)</f>
        <v>2</v>
      </c>
      <c r="E29" s="35">
        <f>VLOOKUP(A29,PACKINGLIST!A:H,5,0)</f>
        <v>25</v>
      </c>
      <c r="F29" s="35">
        <f>VLOOKUP(A29,PACKINGLIST!A:H,6,0)</f>
        <v>50</v>
      </c>
      <c r="G29" s="35" t="str">
        <f>VLOOKUP(A29,PACKINGLIST!A:H,7,0)</f>
        <v>PCS</v>
      </c>
      <c r="H29" s="36">
        <v>1.7579</v>
      </c>
      <c r="I29" s="37">
        <f t="shared" si="1"/>
        <v>87.895</v>
      </c>
      <c r="J29" s="38">
        <f t="shared" si="2"/>
        <v>0</v>
      </c>
      <c r="K29" s="39"/>
      <c r="L29" s="3">
        <f t="shared" si="3"/>
        <v>0</v>
      </c>
      <c r="M29" s="3">
        <f t="shared" si="4"/>
        <v>0</v>
      </c>
    </row>
    <row r="30" s="3" customFormat="1" ht="14" customHeight="1" spans="1:13">
      <c r="A30" s="34">
        <f t="shared" si="5"/>
        <v>16</v>
      </c>
      <c r="B30" s="35">
        <f>VLOOKUP('USD INVOICE'!A30,PACKINGLIST!A:H,2,0)</f>
        <v>9049455</v>
      </c>
      <c r="C30" s="35" t="str">
        <f>VLOOKUP(A30,PACKINGLIST!A:I,3,0)</f>
        <v>MINI HORSE KEYCHAIN 6*19CM_YS0106#</v>
      </c>
      <c r="D30" s="35">
        <f>VLOOKUP(A30,PACKINGLIST!A:H,4,0)</f>
        <v>2</v>
      </c>
      <c r="E30" s="35">
        <f>VLOOKUP(A30,PACKINGLIST!A:H,5,0)</f>
        <v>300</v>
      </c>
      <c r="F30" s="35">
        <f>VLOOKUP(A30,PACKINGLIST!A:H,6,0)</f>
        <v>600</v>
      </c>
      <c r="G30" s="35" t="str">
        <f>VLOOKUP(A30,PACKINGLIST!A:H,7,0)</f>
        <v>PCS</v>
      </c>
      <c r="H30" s="36">
        <v>0.8213</v>
      </c>
      <c r="I30" s="37">
        <f t="shared" si="1"/>
        <v>492.78</v>
      </c>
      <c r="J30" s="38">
        <f t="shared" si="2"/>
        <v>0</v>
      </c>
      <c r="K30" s="39"/>
      <c r="L30" s="3">
        <f t="shared" si="3"/>
        <v>0</v>
      </c>
      <c r="M30" s="3">
        <f t="shared" si="4"/>
        <v>0</v>
      </c>
    </row>
    <row r="31" s="3" customFormat="1" ht="14" customHeight="1" spans="1:13">
      <c r="A31" s="34">
        <f t="shared" si="5"/>
        <v>17</v>
      </c>
      <c r="B31" s="35">
        <f>VLOOKUP('USD INVOICE'!A31,PACKINGLIST!A:H,2,0)</f>
        <v>9049090</v>
      </c>
      <c r="C31" s="35" t="str">
        <f>VLOOKUP(A31,PACKINGLIST!A:I,3,0)</f>
        <v>ORNAMENT (CAT)_BS0109-07#</v>
      </c>
      <c r="D31" s="35">
        <f>VLOOKUP(A31,PACKINGLIST!A:H,4,0)</f>
        <v>1</v>
      </c>
      <c r="E31" s="35">
        <f>VLOOKUP(A31,PACKINGLIST!A:H,5,0)</f>
        <v>198</v>
      </c>
      <c r="F31" s="35">
        <f>VLOOKUP(A31,PACKINGLIST!A:H,6,0)</f>
        <v>198</v>
      </c>
      <c r="G31" s="35" t="str">
        <f>VLOOKUP(A31,PACKINGLIST!A:H,7,0)</f>
        <v>PCS</v>
      </c>
      <c r="H31" s="36">
        <v>0.7493</v>
      </c>
      <c r="I31" s="37">
        <f t="shared" si="1"/>
        <v>148.3614</v>
      </c>
      <c r="J31" s="38">
        <f t="shared" si="2"/>
        <v>0</v>
      </c>
      <c r="K31" s="39"/>
      <c r="L31" s="3">
        <f t="shared" si="3"/>
        <v>0</v>
      </c>
      <c r="M31" s="3">
        <f t="shared" si="4"/>
        <v>0</v>
      </c>
    </row>
    <row r="32" s="3" customFormat="1" ht="14" customHeight="1" spans="1:13">
      <c r="A32" s="34">
        <f t="shared" si="5"/>
        <v>18</v>
      </c>
      <c r="B32" s="35">
        <f>VLOOKUP('USD INVOICE'!A32,PACKINGLIST!A:H,2,0)</f>
        <v>9049091</v>
      </c>
      <c r="C32" s="35" t="str">
        <f>VLOOKUP(A32,PACKINGLIST!A:I,3,0)</f>
        <v>ORNAMENT (VEGE)_BS0106-07#</v>
      </c>
      <c r="D32" s="35">
        <f>VLOOKUP(A32,PACKINGLIST!A:H,4,0)</f>
        <v>1</v>
      </c>
      <c r="E32" s="35">
        <f>VLOOKUP(A32,PACKINGLIST!A:H,5,0)</f>
        <v>198</v>
      </c>
      <c r="F32" s="35">
        <f>VLOOKUP(A32,PACKINGLIST!A:H,6,0)</f>
        <v>198</v>
      </c>
      <c r="G32" s="35" t="str">
        <f>VLOOKUP(A32,PACKINGLIST!A:H,7,0)</f>
        <v>PCS</v>
      </c>
      <c r="H32" s="36">
        <v>0.7493</v>
      </c>
      <c r="I32" s="37">
        <f t="shared" si="1"/>
        <v>148.3614</v>
      </c>
      <c r="J32" s="38">
        <f t="shared" si="2"/>
        <v>0</v>
      </c>
      <c r="K32" s="39"/>
      <c r="L32" s="3">
        <f t="shared" si="3"/>
        <v>0</v>
      </c>
      <c r="M32" s="3">
        <f t="shared" si="4"/>
        <v>0</v>
      </c>
    </row>
    <row r="33" s="3" customFormat="1" ht="14" customHeight="1" spans="1:13">
      <c r="A33" s="34">
        <f t="shared" si="5"/>
        <v>19</v>
      </c>
      <c r="B33" s="35">
        <f>VLOOKUP('USD INVOICE'!A33,PACKINGLIST!A:H,2,0)</f>
        <v>9049092</v>
      </c>
      <c r="C33" s="35" t="str">
        <f>VLOOKUP(A33,PACKINGLIST!A:I,3,0)</f>
        <v>ORNAMENT (PANDA)_BS0095-07#</v>
      </c>
      <c r="D33" s="35">
        <f>VLOOKUP(A33,PACKINGLIST!A:H,4,0)</f>
        <v>1</v>
      </c>
      <c r="E33" s="35">
        <f>VLOOKUP(A33,PACKINGLIST!A:H,5,0)</f>
        <v>198</v>
      </c>
      <c r="F33" s="35">
        <f>VLOOKUP(A33,PACKINGLIST!A:H,6,0)</f>
        <v>198</v>
      </c>
      <c r="G33" s="35" t="str">
        <f>VLOOKUP(A33,PACKINGLIST!A:H,7,0)</f>
        <v>PCS</v>
      </c>
      <c r="H33" s="36">
        <v>0.8213</v>
      </c>
      <c r="I33" s="37">
        <f t="shared" si="1"/>
        <v>162.6174</v>
      </c>
      <c r="J33" s="38">
        <f t="shared" si="2"/>
        <v>0</v>
      </c>
      <c r="K33" s="39"/>
      <c r="L33" s="3">
        <f t="shared" si="3"/>
        <v>0</v>
      </c>
      <c r="M33" s="3">
        <f t="shared" si="4"/>
        <v>0</v>
      </c>
    </row>
    <row r="34" s="3" customFormat="1" ht="14" customHeight="1" spans="1:13">
      <c r="A34" s="34">
        <f t="shared" si="5"/>
        <v>20</v>
      </c>
      <c r="B34" s="35">
        <f>VLOOKUP('USD INVOICE'!A34,PACKINGLIST!A:H,2,0)</f>
        <v>9049093</v>
      </c>
      <c r="C34" s="35" t="str">
        <f>VLOOKUP(A34,PACKINGLIST!A:I,3,0)</f>
        <v>ORNAMENT (FISHING)_BS0114-07#</v>
      </c>
      <c r="D34" s="35">
        <f>VLOOKUP(A34,PACKINGLIST!A:H,4,0)</f>
        <v>1</v>
      </c>
      <c r="E34" s="35">
        <f>VLOOKUP(A34,PACKINGLIST!A:H,5,0)</f>
        <v>198</v>
      </c>
      <c r="F34" s="35">
        <f>VLOOKUP(A34,PACKINGLIST!A:H,6,0)</f>
        <v>198</v>
      </c>
      <c r="G34" s="35" t="str">
        <f>VLOOKUP(A34,PACKINGLIST!A:H,7,0)</f>
        <v>PCS</v>
      </c>
      <c r="H34" s="36">
        <v>0.8501</v>
      </c>
      <c r="I34" s="37">
        <f t="shared" si="1"/>
        <v>168.3198</v>
      </c>
      <c r="J34" s="38">
        <f t="shared" si="2"/>
        <v>0</v>
      </c>
      <c r="K34" s="39"/>
      <c r="L34" s="3">
        <f t="shared" si="3"/>
        <v>0</v>
      </c>
      <c r="M34" s="3">
        <f t="shared" si="4"/>
        <v>0</v>
      </c>
    </row>
    <row r="35" s="3" customFormat="1" ht="14" customHeight="1" spans="1:13">
      <c r="A35" s="34">
        <f t="shared" si="5"/>
        <v>21</v>
      </c>
      <c r="B35" s="35">
        <f>VLOOKUP('USD INVOICE'!A35,PACKINGLIST!A:H,2,0)</f>
        <v>9049094</v>
      </c>
      <c r="C35" s="35" t="str">
        <f>VLOOKUP(A35,PACKINGLIST!A:I,3,0)</f>
        <v>ORNAMENT (HEDGEHOG)_BS0122-07#</v>
      </c>
      <c r="D35" s="35">
        <f>VLOOKUP(A35,PACKINGLIST!A:H,4,0)</f>
        <v>1</v>
      </c>
      <c r="E35" s="35">
        <f>VLOOKUP(A35,PACKINGLIST!A:H,5,0)</f>
        <v>198</v>
      </c>
      <c r="F35" s="35">
        <f>VLOOKUP(A35,PACKINGLIST!A:H,6,0)</f>
        <v>198</v>
      </c>
      <c r="G35" s="35" t="str">
        <f>VLOOKUP(A35,PACKINGLIST!A:H,7,0)</f>
        <v>PCS</v>
      </c>
      <c r="H35" s="36">
        <v>0.9078</v>
      </c>
      <c r="I35" s="37">
        <f t="shared" si="1"/>
        <v>179.7444</v>
      </c>
      <c r="J35" s="38">
        <f t="shared" si="2"/>
        <v>0</v>
      </c>
      <c r="K35" s="39"/>
      <c r="L35" s="3">
        <f t="shared" si="3"/>
        <v>0</v>
      </c>
      <c r="M35" s="3">
        <f t="shared" si="4"/>
        <v>0</v>
      </c>
    </row>
    <row r="36" s="3" customFormat="1" ht="14" customHeight="1" spans="1:13">
      <c r="A36" s="34">
        <f t="shared" ref="A36:A45" si="6">ROW()-14</f>
        <v>22</v>
      </c>
      <c r="B36" s="35">
        <f>VLOOKUP('USD INVOICE'!A36,PACKINGLIST!A:H,2,0)</f>
        <v>9067362</v>
      </c>
      <c r="C36" s="35" t="str">
        <f>VLOOKUP(A36,PACKINGLIST!A:I,3,0)</f>
        <v>KITCHEN TOWEL #3827</v>
      </c>
      <c r="D36" s="35">
        <f>VLOOKUP(A36,PACKINGLIST!A:H,4,0)</f>
        <v>1</v>
      </c>
      <c r="E36" s="35">
        <f>VLOOKUP(A36,PACKINGLIST!A:H,5,0)</f>
        <v>360</v>
      </c>
      <c r="F36" s="35">
        <f>VLOOKUP(A36,PACKINGLIST!A:H,6,0)</f>
        <v>360</v>
      </c>
      <c r="G36" s="35" t="str">
        <f>VLOOKUP(A36,PACKINGLIST!A:H,7,0)</f>
        <v>BAG</v>
      </c>
      <c r="H36" s="36">
        <v>0.2305</v>
      </c>
      <c r="I36" s="37">
        <f t="shared" si="1"/>
        <v>82.98</v>
      </c>
      <c r="J36" s="38">
        <f t="shared" si="2"/>
        <v>0</v>
      </c>
      <c r="K36" s="39"/>
      <c r="L36" s="3">
        <f t="shared" si="3"/>
        <v>0</v>
      </c>
      <c r="M36" s="3">
        <f t="shared" si="4"/>
        <v>0</v>
      </c>
    </row>
    <row r="37" s="3" customFormat="1" ht="14" customHeight="1" spans="1:13">
      <c r="A37" s="34">
        <f t="shared" si="6"/>
        <v>23</v>
      </c>
      <c r="B37" s="35">
        <f>VLOOKUP('USD INVOICE'!A37,PACKINGLIST!A:H,2,0)</f>
        <v>8955676</v>
      </c>
      <c r="C37" s="35" t="str">
        <f>VLOOKUP(A37,PACKINGLIST!A:I,3,0)</f>
        <v>POP BALL PEN BLK 0.7MM_2197825-3#</v>
      </c>
      <c r="D37" s="35">
        <f>VLOOKUP(A37,PACKINGLIST!A:H,4,0)</f>
        <v>4</v>
      </c>
      <c r="E37" s="35">
        <f>VLOOKUP(A37,PACKINGLIST!A:H,5,0)</f>
        <v>192</v>
      </c>
      <c r="F37" s="35">
        <f>VLOOKUP(A37,PACKINGLIST!A:H,6,0)</f>
        <v>768</v>
      </c>
      <c r="G37" s="35" t="str">
        <f>VLOOKUP(A37,PACKINGLIST!A:H,7,0)</f>
        <v>PCS</v>
      </c>
      <c r="H37" s="36">
        <v>0.5259</v>
      </c>
      <c r="I37" s="37">
        <f t="shared" si="1"/>
        <v>403.8912</v>
      </c>
      <c r="J37" s="38">
        <f t="shared" si="2"/>
        <v>0</v>
      </c>
      <c r="K37" s="39"/>
      <c r="L37" s="3">
        <f t="shared" si="3"/>
        <v>0</v>
      </c>
      <c r="M37" s="3">
        <f t="shared" si="4"/>
        <v>0</v>
      </c>
    </row>
    <row r="38" s="3" customFormat="1" ht="14" customHeight="1" spans="1:13">
      <c r="A38" s="34">
        <f t="shared" si="6"/>
        <v>24</v>
      </c>
      <c r="B38" s="35">
        <f>VLOOKUP('USD INVOICE'!A38,PACKINGLIST!A:H,2,0)</f>
        <v>9080652</v>
      </c>
      <c r="C38" s="35" t="str">
        <f>VLOOKUP(A38,PACKINGLIST!A:I,3,0)</f>
        <v>COLOR FILLING BOOK</v>
      </c>
      <c r="D38" s="35">
        <f>VLOOKUP(A38,PACKINGLIST!A:H,4,0)</f>
        <v>1</v>
      </c>
      <c r="E38" s="35">
        <f>VLOOKUP(A38,PACKINGLIST!A:H,5,0)</f>
        <v>624</v>
      </c>
      <c r="F38" s="35">
        <f>VLOOKUP(A38,PACKINGLIST!A:H,6,0)</f>
        <v>624</v>
      </c>
      <c r="G38" s="35" t="str">
        <f>VLOOKUP(A38,PACKINGLIST!A:H,7,0)</f>
        <v>PCS</v>
      </c>
      <c r="H38" s="36">
        <v>0.1686</v>
      </c>
      <c r="I38" s="37">
        <f t="shared" si="1"/>
        <v>105.2064</v>
      </c>
      <c r="J38" s="38">
        <f t="shared" si="2"/>
        <v>0</v>
      </c>
      <c r="K38" s="39"/>
      <c r="L38" s="3">
        <f t="shared" si="3"/>
        <v>0</v>
      </c>
      <c r="M38" s="3">
        <f t="shared" si="4"/>
        <v>0</v>
      </c>
    </row>
    <row r="39" s="3" customFormat="1" ht="14" customHeight="1" spans="1:13">
      <c r="A39" s="34">
        <f t="shared" si="6"/>
        <v>25</v>
      </c>
      <c r="B39" s="35">
        <f>VLOOKUP('USD INVOICE'!A39,PACKINGLIST!A:H,2,0)</f>
        <v>9061289</v>
      </c>
      <c r="C39" s="35" t="str">
        <f>VLOOKUP(A39,PACKINGLIST!A:I,3,0)</f>
        <v>SINK SIEVE JM8042# </v>
      </c>
      <c r="D39" s="35">
        <f>VLOOKUP(A39,PACKINGLIST!A:H,4,0)</f>
        <v>3</v>
      </c>
      <c r="E39" s="35">
        <f>VLOOKUP(A39,PACKINGLIST!A:H,5,0)</f>
        <v>240</v>
      </c>
      <c r="F39" s="35">
        <f>VLOOKUP(A39,PACKINGLIST!A:H,6,0)</f>
        <v>720</v>
      </c>
      <c r="G39" s="35" t="str">
        <f>VLOOKUP(A39,PACKINGLIST!A:H,7,0)</f>
        <v>PCS</v>
      </c>
      <c r="H39" s="36">
        <v>0.2507</v>
      </c>
      <c r="I39" s="37">
        <f t="shared" si="1"/>
        <v>180.504</v>
      </c>
      <c r="J39" s="38">
        <f t="shared" si="2"/>
        <v>0</v>
      </c>
      <c r="K39" s="39"/>
      <c r="L39" s="3">
        <f t="shared" si="3"/>
        <v>0</v>
      </c>
      <c r="M39" s="3">
        <f t="shared" si="4"/>
        <v>0</v>
      </c>
    </row>
    <row r="40" s="3" customFormat="1" ht="14" customHeight="1" spans="1:13">
      <c r="A40" s="34">
        <f t="shared" si="6"/>
        <v>26</v>
      </c>
      <c r="B40" s="35">
        <f>VLOOKUP('USD INVOICE'!A40,PACKINGLIST!A:H,2,0)</f>
        <v>9062695</v>
      </c>
      <c r="C40" s="35" t="str">
        <f>VLOOKUP(A40,PACKINGLIST!A:I,3,0)</f>
        <v>SEWING KIT 5090#</v>
      </c>
      <c r="D40" s="35">
        <f>VLOOKUP(A40,PACKINGLIST!A:H,4,0)</f>
        <v>1</v>
      </c>
      <c r="E40" s="35">
        <f>VLOOKUP(A40,PACKINGLIST!A:H,5,0)</f>
        <v>320</v>
      </c>
      <c r="F40" s="35">
        <f>VLOOKUP(A40,PACKINGLIST!A:H,6,0)</f>
        <v>320</v>
      </c>
      <c r="G40" s="35" t="str">
        <f>VLOOKUP(A40,PACKINGLIST!A:H,7,0)</f>
        <v>PCS</v>
      </c>
      <c r="H40" s="36">
        <v>0.438</v>
      </c>
      <c r="I40" s="37">
        <f t="shared" si="1"/>
        <v>140.16</v>
      </c>
      <c r="J40" s="38">
        <f t="shared" si="2"/>
        <v>0</v>
      </c>
      <c r="K40" s="39"/>
      <c r="L40" s="3">
        <f t="shared" si="3"/>
        <v>0</v>
      </c>
      <c r="M40" s="3">
        <f t="shared" si="4"/>
        <v>0</v>
      </c>
    </row>
    <row r="41" s="3" customFormat="1" ht="14" customHeight="1" spans="1:13">
      <c r="A41" s="34">
        <f t="shared" si="6"/>
        <v>27</v>
      </c>
      <c r="B41" s="35">
        <f>VLOOKUP('USD INVOICE'!A41,PACKINGLIST!A:H,2,0)</f>
        <v>9066807</v>
      </c>
      <c r="C41" s="35" t="str">
        <f>VLOOKUP(A41,PACKINGLIST!A:I,3,0)</f>
        <v>S/S SINK GARBAGE STRAINER 8047</v>
      </c>
      <c r="D41" s="35">
        <f>VLOOKUP(A41,PACKINGLIST!A:H,4,0)</f>
        <v>4</v>
      </c>
      <c r="E41" s="35">
        <f>VLOOKUP(A41,PACKINGLIST!A:H,5,0)</f>
        <v>240</v>
      </c>
      <c r="F41" s="35">
        <f>VLOOKUP(A41,PACKINGLIST!A:H,6,0)</f>
        <v>960</v>
      </c>
      <c r="G41" s="35" t="str">
        <f>VLOOKUP(A41,PACKINGLIST!A:H,7,0)</f>
        <v>PCS</v>
      </c>
      <c r="H41" s="36">
        <v>0.487</v>
      </c>
      <c r="I41" s="37">
        <f t="shared" si="1"/>
        <v>467.52</v>
      </c>
      <c r="J41" s="38">
        <f t="shared" si="2"/>
        <v>0</v>
      </c>
      <c r="K41" s="39"/>
      <c r="L41" s="3">
        <f t="shared" si="3"/>
        <v>0</v>
      </c>
      <c r="M41" s="3">
        <f t="shared" si="4"/>
        <v>0</v>
      </c>
    </row>
    <row r="42" s="3" customFormat="1" ht="14" customHeight="1" spans="1:13">
      <c r="A42" s="34">
        <f t="shared" si="6"/>
        <v>28</v>
      </c>
      <c r="B42" s="35">
        <f>VLOOKUP('USD INVOICE'!A42,PACKINGLIST!A:H,2,0)</f>
        <v>9069769</v>
      </c>
      <c r="C42" s="35" t="str">
        <f>VLOOKUP(A42,PACKINGLIST!A:I,3,0)</f>
        <v>SEWING KIT 0525#</v>
      </c>
      <c r="D42" s="35">
        <f>VLOOKUP(A42,PACKINGLIST!A:H,4,0)</f>
        <v>5</v>
      </c>
      <c r="E42" s="35">
        <f>VLOOKUP(A42,PACKINGLIST!A:H,5,0)</f>
        <v>100</v>
      </c>
      <c r="F42" s="35">
        <f>VLOOKUP(A42,PACKINGLIST!A:H,6,0)</f>
        <v>500</v>
      </c>
      <c r="G42" s="35" t="str">
        <f>VLOOKUP(A42,PACKINGLIST!A:H,7,0)</f>
        <v>BOX</v>
      </c>
      <c r="H42" s="36">
        <v>0.7911</v>
      </c>
      <c r="I42" s="37">
        <f t="shared" si="1"/>
        <v>395.55</v>
      </c>
      <c r="J42" s="38">
        <f t="shared" si="2"/>
        <v>0</v>
      </c>
      <c r="K42" s="39"/>
      <c r="L42" s="3">
        <f t="shared" si="3"/>
        <v>0</v>
      </c>
      <c r="M42" s="3">
        <f t="shared" si="4"/>
        <v>0</v>
      </c>
    </row>
    <row r="43" s="3" customFormat="1" ht="14" customHeight="1" spans="1:13">
      <c r="A43" s="34">
        <f t="shared" si="6"/>
        <v>29</v>
      </c>
      <c r="B43" s="35">
        <f>VLOOKUP('USD INVOICE'!A43,PACKINGLIST!A:H,2,0)</f>
        <v>8975193</v>
      </c>
      <c r="C43" s="35" t="str">
        <f>VLOOKUP(A43,PACKINGLIST!A:I,3,0)</f>
        <v>WASHBASIN B5015#32*11CM</v>
      </c>
      <c r="D43" s="35">
        <f>VLOOKUP(A43,PACKINGLIST!A:H,4,0)</f>
        <v>4</v>
      </c>
      <c r="E43" s="35">
        <f>VLOOKUP(A43,PACKINGLIST!A:H,5,0)</f>
        <v>120</v>
      </c>
      <c r="F43" s="35">
        <f>VLOOKUP(A43,PACKINGLIST!A:H,6,0)</f>
        <v>480</v>
      </c>
      <c r="G43" s="35" t="str">
        <f>VLOOKUP(A43,PACKINGLIST!A:H,7,0)</f>
        <v>PCS</v>
      </c>
      <c r="H43" s="36">
        <v>0.4207</v>
      </c>
      <c r="I43" s="37">
        <f t="shared" si="1"/>
        <v>201.936</v>
      </c>
      <c r="J43" s="38">
        <f t="shared" si="2"/>
        <v>0</v>
      </c>
      <c r="K43" s="39"/>
      <c r="L43" s="3">
        <f t="shared" si="3"/>
        <v>0</v>
      </c>
      <c r="M43" s="3">
        <f t="shared" si="4"/>
        <v>0</v>
      </c>
    </row>
    <row r="44" s="3" customFormat="1" ht="14" customHeight="1" spans="1:13">
      <c r="A44" s="34">
        <f t="shared" si="6"/>
        <v>30</v>
      </c>
      <c r="B44" s="35">
        <f>VLOOKUP('USD INVOICE'!A44,PACKINGLIST!A:H,2,0)</f>
        <v>8975194</v>
      </c>
      <c r="C44" s="35" t="str">
        <f>VLOOKUP(A44,PACKINGLIST!A:I,3,0)</f>
        <v>WASHBASIN 008# 32*11CM</v>
      </c>
      <c r="D44" s="35">
        <f>VLOOKUP(A44,PACKINGLIST!A:H,4,0)</f>
        <v>2</v>
      </c>
      <c r="E44" s="35">
        <f>VLOOKUP(A44,PACKINGLIST!A:H,5,0)</f>
        <v>120</v>
      </c>
      <c r="F44" s="35">
        <f>VLOOKUP(A44,PACKINGLIST!A:H,6,0)</f>
        <v>240</v>
      </c>
      <c r="G44" s="35" t="str">
        <f>VLOOKUP(A44,PACKINGLIST!A:H,7,0)</f>
        <v>PCS</v>
      </c>
      <c r="H44" s="36">
        <v>0.3242</v>
      </c>
      <c r="I44" s="37">
        <f t="shared" si="1"/>
        <v>77.808</v>
      </c>
      <c r="J44" s="38">
        <f t="shared" si="2"/>
        <v>0</v>
      </c>
      <c r="K44" s="39"/>
      <c r="L44" s="3">
        <f t="shared" si="3"/>
        <v>0</v>
      </c>
      <c r="M44" s="3">
        <f t="shared" si="4"/>
        <v>0</v>
      </c>
    </row>
    <row r="45" s="3" customFormat="1" ht="14" customHeight="1" spans="1:13">
      <c r="A45" s="34">
        <f t="shared" si="6"/>
        <v>31</v>
      </c>
      <c r="B45" s="35">
        <f>VLOOKUP('USD INVOICE'!A45,PACKINGLIST!A:H,2,0)</f>
        <v>8978155</v>
      </c>
      <c r="C45" s="35" t="str">
        <f>VLOOKUP(A45,PACKINGLIST!A:I,3,0)</f>
        <v>STORAGE BASKET 34.5*26.5*10CM #5066</v>
      </c>
      <c r="D45" s="35">
        <f>VLOOKUP(A45,PACKINGLIST!A:H,4,0)</f>
        <v>24</v>
      </c>
      <c r="E45" s="35">
        <f>VLOOKUP(A45,PACKINGLIST!A:H,5,0)</f>
        <v>48</v>
      </c>
      <c r="F45" s="35">
        <f>VLOOKUP(A45,PACKINGLIST!A:H,6,0)</f>
        <v>1152</v>
      </c>
      <c r="G45" s="35" t="str">
        <f>VLOOKUP(A45,PACKINGLIST!A:H,7,0)</f>
        <v>PCS</v>
      </c>
      <c r="H45" s="36">
        <v>0.951</v>
      </c>
      <c r="I45" s="37">
        <f t="shared" si="1"/>
        <v>1095.552</v>
      </c>
      <c r="J45" s="38">
        <f t="shared" si="2"/>
        <v>0</v>
      </c>
      <c r="K45" s="39"/>
      <c r="L45" s="3">
        <f t="shared" si="3"/>
        <v>0</v>
      </c>
      <c r="M45" s="3">
        <f t="shared" si="4"/>
        <v>0</v>
      </c>
    </row>
    <row r="46" s="3" customFormat="1" ht="14" customHeight="1" spans="1:13">
      <c r="A46" s="34">
        <f t="shared" ref="A46:A55" si="7">ROW()-14</f>
        <v>32</v>
      </c>
      <c r="B46" s="35">
        <f>VLOOKUP('USD INVOICE'!A46,PACKINGLIST!A:H,2,0)</f>
        <v>8920209</v>
      </c>
      <c r="C46" s="35" t="str">
        <f>VLOOKUP(A46,PACKINGLIST!A:I,3,0)</f>
        <v>HAIR BAND 4PCS B-3611-23#</v>
      </c>
      <c r="D46" s="35">
        <f>VLOOKUP(A46,PACKINGLIST!A:H,4,0)</f>
        <v>1</v>
      </c>
      <c r="E46" s="35">
        <f>VLOOKUP(A46,PACKINGLIST!A:H,5,0)</f>
        <v>1200</v>
      </c>
      <c r="F46" s="35">
        <f>VLOOKUP(A46,PACKINGLIST!A:H,6,0)</f>
        <v>1200</v>
      </c>
      <c r="G46" s="35" t="str">
        <f>VLOOKUP(A46,PACKINGLIST!A:H,7,0)</f>
        <v>BAG</v>
      </c>
      <c r="H46" s="36">
        <v>0.1585</v>
      </c>
      <c r="I46" s="37">
        <f t="shared" si="1"/>
        <v>190.2</v>
      </c>
      <c r="J46" s="38">
        <f t="shared" si="2"/>
        <v>0</v>
      </c>
      <c r="K46" s="39"/>
      <c r="L46" s="3">
        <f t="shared" si="3"/>
        <v>0</v>
      </c>
      <c r="M46" s="3">
        <f t="shared" si="4"/>
        <v>0</v>
      </c>
    </row>
    <row r="47" s="3" customFormat="1" ht="14" customHeight="1" spans="1:13">
      <c r="A47" s="34">
        <f t="shared" si="7"/>
        <v>33</v>
      </c>
      <c r="B47" s="35">
        <f>VLOOKUP('USD INVOICE'!A47,PACKINGLIST!A:H,2,0)</f>
        <v>8920211</v>
      </c>
      <c r="C47" s="35" t="str">
        <f>VLOOKUP(A47,PACKINGLIST!A:I,3,0)</f>
        <v>HAIR BAND 12PCS 5CM B-3611-24#</v>
      </c>
      <c r="D47" s="35">
        <f>VLOOKUP(A47,PACKINGLIST!A:H,4,0)</f>
        <v>1</v>
      </c>
      <c r="E47" s="35">
        <f>VLOOKUP(A47,PACKINGLIST!A:H,5,0)</f>
        <v>1200</v>
      </c>
      <c r="F47" s="35">
        <f>VLOOKUP(A47,PACKINGLIST!A:H,6,0)</f>
        <v>1200</v>
      </c>
      <c r="G47" s="35" t="str">
        <f>VLOOKUP(A47,PACKINGLIST!A:H,7,0)</f>
        <v>BAG</v>
      </c>
      <c r="H47" s="36">
        <v>0.134</v>
      </c>
      <c r="I47" s="37">
        <f t="shared" si="1"/>
        <v>160.8</v>
      </c>
      <c r="J47" s="38">
        <f t="shared" si="2"/>
        <v>0</v>
      </c>
      <c r="K47" s="39"/>
      <c r="L47" s="3">
        <f t="shared" si="3"/>
        <v>0</v>
      </c>
      <c r="M47" s="3">
        <f t="shared" si="4"/>
        <v>0</v>
      </c>
    </row>
    <row r="48" s="3" customFormat="1" ht="14" customHeight="1" spans="1:13">
      <c r="A48" s="34">
        <f t="shared" si="7"/>
        <v>34</v>
      </c>
      <c r="B48" s="35">
        <f>VLOOKUP('USD INVOICE'!A48,PACKINGLIST!A:H,2,0)</f>
        <v>9086656</v>
      </c>
      <c r="C48" s="35" t="str">
        <f>VLOOKUP(A48,PACKINGLIST!A:I,3,0)</f>
        <v>COLOR RUBBER BAND 38*1.7MM</v>
      </c>
      <c r="D48" s="35">
        <f>VLOOKUP(A48,PACKINGLIST!A:H,4,0)</f>
        <v>3</v>
      </c>
      <c r="E48" s="35">
        <f>VLOOKUP(A48,PACKINGLIST!A:H,5,0)</f>
        <v>200</v>
      </c>
      <c r="F48" s="35">
        <f>VLOOKUP(A48,PACKINGLIST!A:H,6,0)</f>
        <v>600</v>
      </c>
      <c r="G48" s="35" t="str">
        <f>VLOOKUP(A48,PACKINGLIST!A:H,7,0)</f>
        <v>SET</v>
      </c>
      <c r="H48" s="36">
        <v>0.3184</v>
      </c>
      <c r="I48" s="37">
        <f t="shared" si="1"/>
        <v>191.04</v>
      </c>
      <c r="J48" s="38">
        <f t="shared" si="2"/>
        <v>0</v>
      </c>
      <c r="K48" s="39"/>
      <c r="L48" s="3">
        <f t="shared" si="3"/>
        <v>0</v>
      </c>
      <c r="M48" s="3">
        <f t="shared" si="4"/>
        <v>0</v>
      </c>
    </row>
    <row r="49" s="3" customFormat="1" ht="14" customHeight="1" spans="1:13">
      <c r="A49" s="34">
        <f t="shared" si="7"/>
        <v>35</v>
      </c>
      <c r="B49" s="35">
        <f>VLOOKUP('USD INVOICE'!A49,PACKINGLIST!A:H,2,0)</f>
        <v>6001784</v>
      </c>
      <c r="C49" s="35" t="str">
        <f>VLOOKUP(A49,PACKINGLIST!A:I,3,0)</f>
        <v>SCOURING SPONGE 3S #TP-717</v>
      </c>
      <c r="D49" s="35">
        <f>VLOOKUP(A49,PACKINGLIST!A:H,4,0)</f>
        <v>1</v>
      </c>
      <c r="E49" s="35">
        <f>VLOOKUP(A49,PACKINGLIST!A:H,5,0)</f>
        <v>48</v>
      </c>
      <c r="F49" s="35">
        <f>VLOOKUP(A49,PACKINGLIST!A:H,6,0)</f>
        <v>48</v>
      </c>
      <c r="G49" s="35" t="str">
        <f>VLOOKUP(A49,PACKINGLIST!A:H,7,0)</f>
        <v>BAG</v>
      </c>
      <c r="H49" s="36">
        <v>0.2161</v>
      </c>
      <c r="I49" s="37">
        <f t="shared" si="1"/>
        <v>10.3728</v>
      </c>
      <c r="J49" s="38">
        <f t="shared" si="2"/>
        <v>0</v>
      </c>
      <c r="K49" s="39"/>
      <c r="L49" s="3">
        <f t="shared" si="3"/>
        <v>0</v>
      </c>
      <c r="M49" s="3">
        <f t="shared" si="4"/>
        <v>0</v>
      </c>
    </row>
    <row r="50" s="3" customFormat="1" ht="14" customHeight="1" spans="1:13">
      <c r="A50" s="34">
        <f t="shared" si="7"/>
        <v>36</v>
      </c>
      <c r="B50" s="35">
        <f>VLOOKUP('USD INVOICE'!A50,PACKINGLIST!A:H,2,0)</f>
        <v>9080914</v>
      </c>
      <c r="C50" s="35" t="str">
        <f>VLOOKUP(A50,PACKINGLIST!A:I,3,0)</f>
        <v>RUBBER BANDS 100G (YELLOW) </v>
      </c>
      <c r="D50" s="35">
        <f>VLOOKUP(A50,PACKINGLIST!A:H,4,0)</f>
        <v>2</v>
      </c>
      <c r="E50" s="35">
        <f>VLOOKUP(A50,PACKINGLIST!A:H,5,0)</f>
        <v>200</v>
      </c>
      <c r="F50" s="35">
        <f>VLOOKUP(A50,PACKINGLIST!A:H,6,0)</f>
        <v>400</v>
      </c>
      <c r="G50" s="35" t="str">
        <f>VLOOKUP(A50,PACKINGLIST!A:H,7,0)</f>
        <v>SET</v>
      </c>
      <c r="H50" s="36">
        <v>0.3098</v>
      </c>
      <c r="I50" s="37">
        <f t="shared" si="1"/>
        <v>123.92</v>
      </c>
      <c r="J50" s="38">
        <f t="shared" si="2"/>
        <v>0</v>
      </c>
      <c r="K50" s="39"/>
      <c r="L50" s="3">
        <f t="shared" si="3"/>
        <v>0</v>
      </c>
      <c r="M50" s="3">
        <f t="shared" si="4"/>
        <v>0</v>
      </c>
    </row>
    <row r="51" s="3" customFormat="1" ht="14" customHeight="1" spans="1:13">
      <c r="A51" s="34">
        <f t="shared" si="7"/>
        <v>37</v>
      </c>
      <c r="B51" s="35">
        <f>VLOOKUP('USD INVOICE'!A51,PACKINGLIST!A:H,2,0)</f>
        <v>9064336</v>
      </c>
      <c r="C51" s="35" t="str">
        <f>VLOOKUP(A51,PACKINGLIST!A:I,3,0)</f>
        <v>SPONGE MESH F004-4S</v>
      </c>
      <c r="D51" s="35">
        <f>VLOOKUP(A51,PACKINGLIST!A:H,4,0)</f>
        <v>6</v>
      </c>
      <c r="E51" s="35">
        <f>VLOOKUP(A51,PACKINGLIST!A:H,5,0)</f>
        <v>100</v>
      </c>
      <c r="F51" s="35">
        <f>VLOOKUP(A51,PACKINGLIST!A:H,6,0)</f>
        <v>600</v>
      </c>
      <c r="G51" s="35" t="str">
        <f>VLOOKUP(A51,PACKINGLIST!A:H,7,0)</f>
        <v>BAG</v>
      </c>
      <c r="H51" s="36">
        <v>0.2233</v>
      </c>
      <c r="I51" s="37">
        <f t="shared" si="1"/>
        <v>133.98</v>
      </c>
      <c r="J51" s="38">
        <f t="shared" si="2"/>
        <v>0</v>
      </c>
      <c r="K51" s="39"/>
      <c r="L51" s="3">
        <f t="shared" si="3"/>
        <v>0</v>
      </c>
      <c r="M51" s="3">
        <f t="shared" si="4"/>
        <v>0</v>
      </c>
    </row>
    <row r="52" s="3" customFormat="1" ht="14" customHeight="1" spans="1:13">
      <c r="A52" s="34">
        <f t="shared" si="7"/>
        <v>38</v>
      </c>
      <c r="B52" s="35">
        <f>VLOOKUP('USD INVOICE'!A52,PACKINGLIST!A:H,2,0)</f>
        <v>8978217</v>
      </c>
      <c r="C52" s="35" t="str">
        <f>VLOOKUP(A52,PACKINGLIST!A:I,3,0)</f>
        <v>SCOURING BALL 1S #TP-712</v>
      </c>
      <c r="D52" s="35">
        <f>VLOOKUP(A52,PACKINGLIST!A:H,4,0)</f>
        <v>2</v>
      </c>
      <c r="E52" s="35">
        <f>VLOOKUP(A52,PACKINGLIST!A:H,5,0)</f>
        <v>72</v>
      </c>
      <c r="F52" s="35">
        <f>VLOOKUP(A52,PACKINGLIST!A:H,6,0)</f>
        <v>144</v>
      </c>
      <c r="G52" s="35" t="str">
        <f>VLOOKUP(A52,PACKINGLIST!A:H,7,0)</f>
        <v>BAG</v>
      </c>
      <c r="H52" s="36">
        <v>0.1081</v>
      </c>
      <c r="I52" s="37">
        <f t="shared" si="1"/>
        <v>15.5664</v>
      </c>
      <c r="J52" s="38">
        <f t="shared" si="2"/>
        <v>0</v>
      </c>
      <c r="K52" s="39"/>
      <c r="L52" s="3">
        <f t="shared" si="3"/>
        <v>0</v>
      </c>
      <c r="M52" s="3">
        <f t="shared" si="4"/>
        <v>0</v>
      </c>
    </row>
    <row r="53" s="3" customFormat="1" ht="14" customHeight="1" spans="1:13">
      <c r="A53" s="34">
        <f t="shared" si="7"/>
        <v>39</v>
      </c>
      <c r="B53" s="35">
        <f>VLOOKUP('USD INVOICE'!A53,PACKINGLIST!A:H,2,0)</f>
        <v>9039239</v>
      </c>
      <c r="C53" s="35" t="str">
        <f>VLOOKUP(A53,PACKINGLIST!A:I,3,0)</f>
        <v>COSMETIC POUCH 15*6*11CM #YN-1589</v>
      </c>
      <c r="D53" s="35">
        <f>VLOOKUP(A53,PACKINGLIST!A:H,4,0)</f>
        <v>2</v>
      </c>
      <c r="E53" s="35">
        <f>VLOOKUP(A53,PACKINGLIST!A:H,5,0)</f>
        <v>150</v>
      </c>
      <c r="F53" s="35">
        <f>VLOOKUP(A53,PACKINGLIST!A:H,6,0)</f>
        <v>300</v>
      </c>
      <c r="G53" s="35" t="str">
        <f>VLOOKUP(A53,PACKINGLIST!A:H,7,0)</f>
        <v>PCS</v>
      </c>
      <c r="H53" s="36">
        <v>1.0807</v>
      </c>
      <c r="I53" s="37">
        <f t="shared" si="1"/>
        <v>324.21</v>
      </c>
      <c r="J53" s="38">
        <f t="shared" si="2"/>
        <v>0</v>
      </c>
      <c r="K53" s="39"/>
      <c r="L53" s="3">
        <f t="shared" si="3"/>
        <v>0</v>
      </c>
      <c r="M53" s="3">
        <f t="shared" si="4"/>
        <v>0</v>
      </c>
    </row>
    <row r="54" s="3" customFormat="1" ht="14" customHeight="1" spans="1:13">
      <c r="A54" s="34">
        <f t="shared" si="7"/>
        <v>40</v>
      </c>
      <c r="B54" s="35">
        <f>VLOOKUP('USD INVOICE'!A54,PACKINGLIST!A:H,2,0)</f>
        <v>9064065</v>
      </c>
      <c r="C54" s="35" t="str">
        <f>VLOOKUP(A54,PACKINGLIST!A:I,3,0)</f>
        <v>SPONGE WH27659*16A-Q*16R-Q</v>
      </c>
      <c r="D54" s="35">
        <f>VLOOKUP(A54,PACKINGLIST!A:H,4,0)</f>
        <v>1</v>
      </c>
      <c r="E54" s="35">
        <f>VLOOKUP(A54,PACKINGLIST!A:H,5,0)</f>
        <v>132</v>
      </c>
      <c r="F54" s="35">
        <f>VLOOKUP(A54,PACKINGLIST!A:H,6,0)</f>
        <v>132</v>
      </c>
      <c r="G54" s="35" t="str">
        <f>VLOOKUP(A54,PACKINGLIST!A:H,7,0)</f>
        <v>BAG</v>
      </c>
      <c r="H54" s="36">
        <v>0.1412</v>
      </c>
      <c r="I54" s="37">
        <f t="shared" si="1"/>
        <v>18.6384</v>
      </c>
      <c r="J54" s="38">
        <f t="shared" si="2"/>
        <v>0</v>
      </c>
      <c r="K54" s="39"/>
      <c r="L54" s="3">
        <f t="shared" si="3"/>
        <v>0</v>
      </c>
      <c r="M54" s="3">
        <f t="shared" si="4"/>
        <v>0</v>
      </c>
    </row>
    <row r="55" s="3" customFormat="1" ht="14" customHeight="1" spans="1:13">
      <c r="A55" s="34">
        <f t="shared" si="7"/>
        <v>41</v>
      </c>
      <c r="B55" s="35">
        <f>VLOOKUP('USD INVOICE'!A55,PACKINGLIST!A:H,2,0)</f>
        <v>8978222</v>
      </c>
      <c r="C55" s="35" t="str">
        <f>VLOOKUP(A55,PACKINGLIST!A:I,3,0)</f>
        <v>SCOURING PAD WITH HANDLE #SD01-28-1</v>
      </c>
      <c r="D55" s="35">
        <f>VLOOKUP(A55,PACKINGLIST!A:H,4,0)</f>
        <v>4</v>
      </c>
      <c r="E55" s="35">
        <f>VLOOKUP(A55,PACKINGLIST!A:H,5,0)</f>
        <v>288</v>
      </c>
      <c r="F55" s="35">
        <f>VLOOKUP(A55,PACKINGLIST!A:H,6,0)</f>
        <v>1152</v>
      </c>
      <c r="G55" s="35" t="str">
        <f>VLOOKUP(A55,PACKINGLIST!A:H,7,0)</f>
        <v>BAG</v>
      </c>
      <c r="H55" s="36">
        <v>0.1153</v>
      </c>
      <c r="I55" s="37">
        <f t="shared" si="1"/>
        <v>132.8256</v>
      </c>
      <c r="J55" s="38">
        <f t="shared" si="2"/>
        <v>0</v>
      </c>
      <c r="K55" s="39"/>
      <c r="L55" s="3">
        <f t="shared" si="3"/>
        <v>0</v>
      </c>
      <c r="M55" s="3">
        <f t="shared" si="4"/>
        <v>0</v>
      </c>
    </row>
    <row r="56" s="3" customFormat="1" ht="14" customHeight="1" spans="1:13">
      <c r="A56" s="34">
        <f t="shared" ref="A56:A65" si="8">ROW()-14</f>
        <v>42</v>
      </c>
      <c r="B56" s="35">
        <f>VLOOKUP('USD INVOICE'!A56,PACKINGLIST!A:H,2,0)</f>
        <v>6001255</v>
      </c>
      <c r="C56" s="35" t="str">
        <f>VLOOKUP(A56,PACKINGLIST!A:I,3,0)</f>
        <v>NOTEBOOK 12.8*9CM 2 PCS_FSGS022#</v>
      </c>
      <c r="D56" s="35">
        <f>VLOOKUP(A56,PACKINGLIST!A:H,4,0)</f>
        <v>3</v>
      </c>
      <c r="E56" s="35">
        <f>VLOOKUP(A56,PACKINGLIST!A:H,5,0)</f>
        <v>72</v>
      </c>
      <c r="F56" s="35">
        <f>VLOOKUP(A56,PACKINGLIST!A:H,6,0)</f>
        <v>216</v>
      </c>
      <c r="G56" s="35" t="str">
        <f>VLOOKUP(A56,PACKINGLIST!A:H,7,0)</f>
        <v>PCS</v>
      </c>
      <c r="H56" s="36">
        <v>0.5476</v>
      </c>
      <c r="I56" s="37">
        <f t="shared" si="1"/>
        <v>118.2816</v>
      </c>
      <c r="J56" s="38">
        <f t="shared" si="2"/>
        <v>0</v>
      </c>
      <c r="K56" s="39"/>
      <c r="L56" s="3">
        <f t="shared" si="3"/>
        <v>0</v>
      </c>
      <c r="M56" s="3">
        <f t="shared" si="4"/>
        <v>0</v>
      </c>
    </row>
    <row r="57" s="3" customFormat="1" ht="14" customHeight="1" spans="1:13">
      <c r="A57" s="34">
        <f t="shared" si="8"/>
        <v>43</v>
      </c>
      <c r="B57" s="35">
        <f>VLOOKUP('USD INVOICE'!A57,PACKINGLIST!A:H,2,0)</f>
        <v>9037947</v>
      </c>
      <c r="C57" s="35" t="str">
        <f>VLOOKUP(A57,PACKINGLIST!A:I,3,0)</f>
        <v>FLOOR MAT 150*180CM 150180#</v>
      </c>
      <c r="D57" s="35">
        <f>VLOOKUP(A57,PACKINGLIST!A:H,4,0)</f>
        <v>9</v>
      </c>
      <c r="E57" s="35">
        <f>VLOOKUP(A57,PACKINGLIST!A:H,5,0)</f>
        <v>10</v>
      </c>
      <c r="F57" s="35">
        <f>VLOOKUP(A57,PACKINGLIST!A:H,6,0)</f>
        <v>90</v>
      </c>
      <c r="G57" s="35" t="str">
        <f>VLOOKUP(A57,PACKINGLIST!A:H,7,0)</f>
        <v>PCS</v>
      </c>
      <c r="H57" s="36">
        <v>5.0576</v>
      </c>
      <c r="I57" s="37">
        <f t="shared" si="1"/>
        <v>455.184</v>
      </c>
      <c r="J57" s="38">
        <f t="shared" si="2"/>
        <v>0</v>
      </c>
      <c r="K57" s="39"/>
      <c r="L57" s="3">
        <f t="shared" si="3"/>
        <v>0</v>
      </c>
      <c r="M57" s="3">
        <f t="shared" si="4"/>
        <v>0</v>
      </c>
    </row>
    <row r="58" s="3" customFormat="1" ht="14" customHeight="1" spans="1:13">
      <c r="A58" s="34">
        <f t="shared" si="8"/>
        <v>44</v>
      </c>
      <c r="B58" s="35">
        <f>VLOOKUP('USD INVOICE'!A58,PACKINGLIST!A:H,2,0)</f>
        <v>9048857</v>
      </c>
      <c r="C58" s="35" t="str">
        <f>VLOOKUP(A58,PACKINGLIST!A:I,3,0)</f>
        <v>DISPLAY CASE FRAME 20*20CM_9860#</v>
      </c>
      <c r="D58" s="35">
        <f>VLOOKUP(A58,PACKINGLIST!A:H,4,0)</f>
        <v>5</v>
      </c>
      <c r="E58" s="35">
        <f>VLOOKUP(A58,PACKINGLIST!A:H,5,0)</f>
        <v>48</v>
      </c>
      <c r="F58" s="35">
        <f>VLOOKUP(A58,PACKINGLIST!A:H,6,0)</f>
        <v>240</v>
      </c>
      <c r="G58" s="35" t="str">
        <f>VLOOKUP(A58,PACKINGLIST!A:H,7,0)</f>
        <v>PCS</v>
      </c>
      <c r="H58" s="36">
        <v>1.0086</v>
      </c>
      <c r="I58" s="37">
        <f t="shared" si="1"/>
        <v>242.064</v>
      </c>
      <c r="J58" s="38">
        <f t="shared" si="2"/>
        <v>0</v>
      </c>
      <c r="K58" s="39"/>
      <c r="L58" s="3">
        <f t="shared" si="3"/>
        <v>0</v>
      </c>
      <c r="M58" s="3">
        <f t="shared" si="4"/>
        <v>0</v>
      </c>
    </row>
    <row r="59" s="3" customFormat="1" ht="14" customHeight="1" spans="1:13">
      <c r="A59" s="34">
        <f t="shared" si="8"/>
        <v>45</v>
      </c>
      <c r="B59" s="35">
        <f>VLOOKUP('USD INVOICE'!A59,PACKINGLIST!A:H,2,0)</f>
        <v>9039459</v>
      </c>
      <c r="C59" s="35" t="str">
        <f>VLOOKUP(A59,PACKINGLIST!A:I,3,0)</f>
        <v>CUSHION (SQUARE)1894#</v>
      </c>
      <c r="D59" s="35">
        <f>VLOOKUP(A59,PACKINGLIST!A:H,4,0)</f>
        <v>13</v>
      </c>
      <c r="E59" s="35">
        <f>VLOOKUP(A59,PACKINGLIST!A:H,5,0)</f>
        <v>30</v>
      </c>
      <c r="F59" s="35">
        <f>VLOOKUP(A59,PACKINGLIST!A:H,6,0)</f>
        <v>390</v>
      </c>
      <c r="G59" s="35" t="str">
        <f>VLOOKUP(A59,PACKINGLIST!A:H,7,0)</f>
        <v>PCS</v>
      </c>
      <c r="H59" s="36">
        <v>1.0663</v>
      </c>
      <c r="I59" s="37">
        <f t="shared" si="1"/>
        <v>415.857</v>
      </c>
      <c r="J59" s="38">
        <f t="shared" si="2"/>
        <v>0</v>
      </c>
      <c r="K59" s="39"/>
      <c r="L59" s="3">
        <f t="shared" si="3"/>
        <v>0</v>
      </c>
      <c r="M59" s="3">
        <f t="shared" si="4"/>
        <v>0</v>
      </c>
    </row>
    <row r="60" s="3" customFormat="1" ht="14" customHeight="1" spans="1:13">
      <c r="A60" s="34">
        <f t="shared" si="8"/>
        <v>46</v>
      </c>
      <c r="B60" s="35">
        <f>VLOOKUP('USD INVOICE'!A60,PACKINGLIST!A:H,2,0)</f>
        <v>6001281</v>
      </c>
      <c r="C60" s="35" t="str">
        <f>VLOOKUP(A60,PACKINGLIST!A:I,3,0)</f>
        <v>PHOTO FRAME 6" 14.7*19.7CM_PS06#</v>
      </c>
      <c r="D60" s="35">
        <f>VLOOKUP(A60,PACKINGLIST!A:H,4,0)</f>
        <v>11</v>
      </c>
      <c r="E60" s="35">
        <f>VLOOKUP(A60,PACKINGLIST!A:H,5,0)</f>
        <v>12</v>
      </c>
      <c r="F60" s="35">
        <f>VLOOKUP(A60,PACKINGLIST!A:H,6,0)</f>
        <v>132</v>
      </c>
      <c r="G60" s="35" t="str">
        <f>VLOOKUP(A60,PACKINGLIST!A:H,7,0)</f>
        <v>PCS</v>
      </c>
      <c r="H60" s="36">
        <v>0.5043</v>
      </c>
      <c r="I60" s="37">
        <f t="shared" si="1"/>
        <v>66.5676</v>
      </c>
      <c r="J60" s="38">
        <f t="shared" si="2"/>
        <v>0</v>
      </c>
      <c r="K60" s="39"/>
      <c r="L60" s="3">
        <f t="shared" si="3"/>
        <v>0</v>
      </c>
      <c r="M60" s="3">
        <f t="shared" si="4"/>
        <v>0</v>
      </c>
    </row>
    <row r="61" s="3" customFormat="1" ht="14" customHeight="1" spans="1:13">
      <c r="A61" s="34">
        <f t="shared" si="8"/>
        <v>47</v>
      </c>
      <c r="B61" s="35">
        <f>VLOOKUP('USD INVOICE'!A61,PACKINGLIST!A:H,2,0)</f>
        <v>6001282</v>
      </c>
      <c r="C61" s="35" t="str">
        <f>VLOOKUP(A61,PACKINGLIST!A:I,3,0)</f>
        <v>PHOTO FRAME 7" 17.7*22.7CM_PS07#</v>
      </c>
      <c r="D61" s="35">
        <f>VLOOKUP(A61,PACKINGLIST!A:H,4,0)</f>
        <v>27</v>
      </c>
      <c r="E61" s="35">
        <f>VLOOKUP(A61,PACKINGLIST!A:H,5,0)</f>
        <v>12</v>
      </c>
      <c r="F61" s="35">
        <f>VLOOKUP(A61,PACKINGLIST!A:H,6,0)</f>
        <v>324</v>
      </c>
      <c r="G61" s="35" t="str">
        <f>VLOOKUP(A61,PACKINGLIST!A:H,7,0)</f>
        <v>PCS</v>
      </c>
      <c r="H61" s="36">
        <v>0.5908</v>
      </c>
      <c r="I61" s="37">
        <f t="shared" si="1"/>
        <v>191.4192</v>
      </c>
      <c r="J61" s="38">
        <f t="shared" si="2"/>
        <v>0</v>
      </c>
      <c r="K61" s="39"/>
      <c r="L61" s="3">
        <f t="shared" si="3"/>
        <v>0</v>
      </c>
      <c r="M61" s="3">
        <f t="shared" si="4"/>
        <v>0</v>
      </c>
    </row>
    <row r="62" s="3" customFormat="1" ht="14" customHeight="1" spans="1:13">
      <c r="A62" s="34">
        <f t="shared" si="8"/>
        <v>48</v>
      </c>
      <c r="B62" s="35">
        <f>VLOOKUP('USD INVOICE'!A62,PACKINGLIST!A:H,2,0)</f>
        <v>6001284</v>
      </c>
      <c r="C62" s="35" t="str">
        <f>VLOOKUP(A62,PACKINGLIST!A:I,3,0)</f>
        <v>PHOTO FRAME 6" 10*15CM_M06#</v>
      </c>
      <c r="D62" s="35">
        <f>VLOOKUP(A62,PACKINGLIST!A:H,4,0)</f>
        <v>51</v>
      </c>
      <c r="E62" s="35">
        <f>VLOOKUP(A62,PACKINGLIST!A:H,5,0)</f>
        <v>12</v>
      </c>
      <c r="F62" s="35">
        <f>VLOOKUP(A62,PACKINGLIST!A:H,6,0)</f>
        <v>612</v>
      </c>
      <c r="G62" s="35" t="str">
        <f>VLOOKUP(A62,PACKINGLIST!A:H,7,0)</f>
        <v>PCS</v>
      </c>
      <c r="H62" s="36">
        <v>0.3674</v>
      </c>
      <c r="I62" s="37">
        <f t="shared" si="1"/>
        <v>224.8488</v>
      </c>
      <c r="J62" s="38">
        <f t="shared" si="2"/>
        <v>0</v>
      </c>
      <c r="K62" s="39"/>
      <c r="L62" s="3">
        <f t="shared" si="3"/>
        <v>0</v>
      </c>
      <c r="M62" s="3">
        <f t="shared" si="4"/>
        <v>0</v>
      </c>
    </row>
    <row r="63" s="3" customFormat="1" ht="14" customHeight="1" spans="1:13">
      <c r="A63" s="34">
        <f t="shared" si="8"/>
        <v>49</v>
      </c>
      <c r="B63" s="35">
        <f>VLOOKUP('USD INVOICE'!A63,PACKINGLIST!A:H,2,0)</f>
        <v>6001285</v>
      </c>
      <c r="C63" s="35" t="str">
        <f>VLOOKUP(A63,PACKINGLIST!A:I,3,0)</f>
        <v>PHOTO FRAME 7" 13*18CM_M07#</v>
      </c>
      <c r="D63" s="35">
        <f>VLOOKUP(A63,PACKINGLIST!A:H,4,0)</f>
        <v>6</v>
      </c>
      <c r="E63" s="35">
        <f>VLOOKUP(A63,PACKINGLIST!A:H,5,0)</f>
        <v>12</v>
      </c>
      <c r="F63" s="35">
        <f>VLOOKUP(A63,PACKINGLIST!A:H,6,0)</f>
        <v>72</v>
      </c>
      <c r="G63" s="35" t="str">
        <f>VLOOKUP(A63,PACKINGLIST!A:H,7,0)</f>
        <v>PCS</v>
      </c>
      <c r="H63" s="36">
        <v>0.4611</v>
      </c>
      <c r="I63" s="37">
        <f t="shared" si="1"/>
        <v>33.1992</v>
      </c>
      <c r="J63" s="38">
        <f t="shared" si="2"/>
        <v>0</v>
      </c>
      <c r="K63" s="39"/>
      <c r="L63" s="3">
        <f t="shared" si="3"/>
        <v>0</v>
      </c>
      <c r="M63" s="3">
        <f t="shared" si="4"/>
        <v>0</v>
      </c>
    </row>
    <row r="64" s="3" customFormat="1" ht="14" customHeight="1" spans="1:13">
      <c r="A64" s="34">
        <f t="shared" si="8"/>
        <v>50</v>
      </c>
      <c r="B64" s="35">
        <f>VLOOKUP('USD INVOICE'!A64,PACKINGLIST!A:H,2,0)</f>
        <v>6001287</v>
      </c>
      <c r="C64" s="35" t="str">
        <f>VLOOKUP(A64,PACKINGLIST!A:I,3,0)</f>
        <v>METAL PHOTO FRAME 6" 10.3*15.5CM_W06#</v>
      </c>
      <c r="D64" s="35">
        <f>VLOOKUP(A64,PACKINGLIST!A:H,4,0)</f>
        <v>16</v>
      </c>
      <c r="E64" s="35">
        <f>VLOOKUP(A64,PACKINGLIST!A:H,5,0)</f>
        <v>12</v>
      </c>
      <c r="F64" s="35">
        <f>VLOOKUP(A64,PACKINGLIST!A:H,6,0)</f>
        <v>192</v>
      </c>
      <c r="G64" s="35" t="str">
        <f>VLOOKUP(A64,PACKINGLIST!A:H,7,0)</f>
        <v>PCS</v>
      </c>
      <c r="H64" s="36">
        <v>0.9006</v>
      </c>
      <c r="I64" s="37">
        <f t="shared" si="1"/>
        <v>172.9152</v>
      </c>
      <c r="J64" s="38">
        <f t="shared" si="2"/>
        <v>0</v>
      </c>
      <c r="K64" s="39"/>
      <c r="L64" s="3">
        <f t="shared" si="3"/>
        <v>0</v>
      </c>
      <c r="M64" s="3">
        <f t="shared" si="4"/>
        <v>0</v>
      </c>
    </row>
    <row r="65" s="3" customFormat="1" ht="14" customHeight="1" spans="1:13">
      <c r="A65" s="34">
        <f t="shared" si="8"/>
        <v>51</v>
      </c>
      <c r="B65" s="35">
        <f>VLOOKUP('USD INVOICE'!A65,PACKINGLIST!A:H,2,0)</f>
        <v>6001289</v>
      </c>
      <c r="C65" s="35" t="str">
        <f>VLOOKUP(A65,PACKINGLIST!A:I,3,0)</f>
        <v>METAL PHOTO FRAME 3IN1 SET 13*18CM_R07#</v>
      </c>
      <c r="D65" s="35">
        <f>VLOOKUP(A65,PACKINGLIST!A:H,4,0)</f>
        <v>12</v>
      </c>
      <c r="E65" s="35">
        <f>VLOOKUP(A65,PACKINGLIST!A:H,5,0)</f>
        <v>4</v>
      </c>
      <c r="F65" s="35">
        <f>VLOOKUP(A65,PACKINGLIST!A:H,6,0)</f>
        <v>48</v>
      </c>
      <c r="G65" s="35" t="str">
        <f>VLOOKUP(A65,PACKINGLIST!A:H,7,0)</f>
        <v>PCS</v>
      </c>
      <c r="H65" s="36">
        <v>2.4928</v>
      </c>
      <c r="I65" s="37">
        <f t="shared" si="1"/>
        <v>119.6544</v>
      </c>
      <c r="J65" s="38">
        <f t="shared" si="2"/>
        <v>0</v>
      </c>
      <c r="K65" s="39"/>
      <c r="L65" s="3">
        <f t="shared" si="3"/>
        <v>0</v>
      </c>
      <c r="M65" s="3">
        <f t="shared" si="4"/>
        <v>0</v>
      </c>
    </row>
    <row r="66" s="3" customFormat="1" ht="14" customHeight="1" spans="1:13">
      <c r="A66" s="34">
        <f t="shared" ref="A66:A75" si="9">ROW()-14</f>
        <v>52</v>
      </c>
      <c r="B66" s="35">
        <f>VLOOKUP('USD INVOICE'!A66,PACKINGLIST!A:H,2,0)</f>
        <v>6001301</v>
      </c>
      <c r="C66" s="35" t="str">
        <f>VLOOKUP(A66,PACKINGLIST!A:I,3,0)</f>
        <v>METAL CANDLE HOLDER (S) 8*8*16CM#</v>
      </c>
      <c r="D66" s="35">
        <f>VLOOKUP(A66,PACKINGLIST!A:H,4,0)</f>
        <v>11</v>
      </c>
      <c r="E66" s="35">
        <f>VLOOKUP(A66,PACKINGLIST!A:H,5,0)</f>
        <v>12</v>
      </c>
      <c r="F66" s="35">
        <f>VLOOKUP(A66,PACKINGLIST!A:H,6,0)</f>
        <v>132</v>
      </c>
      <c r="G66" s="35" t="str">
        <f>VLOOKUP(A66,PACKINGLIST!A:H,7,0)</f>
        <v>PCS</v>
      </c>
      <c r="H66" s="36">
        <v>0.7061</v>
      </c>
      <c r="I66" s="37">
        <f t="shared" si="1"/>
        <v>93.2052</v>
      </c>
      <c r="J66" s="38">
        <f t="shared" si="2"/>
        <v>0</v>
      </c>
      <c r="K66" s="39"/>
      <c r="L66" s="3">
        <f t="shared" si="3"/>
        <v>0</v>
      </c>
      <c r="M66" s="3">
        <f t="shared" si="4"/>
        <v>0</v>
      </c>
    </row>
    <row r="67" s="3" customFormat="1" ht="14" customHeight="1" spans="1:13">
      <c r="A67" s="34">
        <f t="shared" si="9"/>
        <v>53</v>
      </c>
      <c r="B67" s="35">
        <f>VLOOKUP('USD INVOICE'!A67,PACKINGLIST!A:H,2,0)</f>
        <v>6001307</v>
      </c>
      <c r="C67" s="35" t="str">
        <f>VLOOKUP(A67,PACKINGLIST!A:I,3,0)</f>
        <v>DECO MARBLE PLATE 31*5*30CM#</v>
      </c>
      <c r="D67" s="35">
        <f>VLOOKUP(A67,PACKINGLIST!A:H,4,0)</f>
        <v>10</v>
      </c>
      <c r="E67" s="35">
        <f>VLOOKUP(A67,PACKINGLIST!A:H,5,0)</f>
        <v>8</v>
      </c>
      <c r="F67" s="35">
        <f>VLOOKUP(A67,PACKINGLIST!A:H,6,0)</f>
        <v>80</v>
      </c>
      <c r="G67" s="35" t="str">
        <f>VLOOKUP(A67,PACKINGLIST!A:H,7,0)</f>
        <v>PCS</v>
      </c>
      <c r="H67" s="36">
        <v>2.1787</v>
      </c>
      <c r="I67" s="37">
        <f t="shared" si="1"/>
        <v>174.296</v>
      </c>
      <c r="J67" s="38">
        <f t="shared" si="2"/>
        <v>0</v>
      </c>
      <c r="K67" s="39"/>
      <c r="L67" s="3">
        <f t="shared" si="3"/>
        <v>0</v>
      </c>
      <c r="M67" s="3">
        <f t="shared" si="4"/>
        <v>0</v>
      </c>
    </row>
    <row r="68" s="3" customFormat="1" ht="14" customHeight="1" spans="1:13">
      <c r="A68" s="34">
        <f t="shared" si="9"/>
        <v>54</v>
      </c>
      <c r="B68" s="35">
        <f>VLOOKUP('USD INVOICE'!A68,PACKINGLIST!A:H,2,0)</f>
        <v>8803286</v>
      </c>
      <c r="C68" s="35" t="str">
        <f>VLOOKUP(A68,PACKINGLIST!A:I,3,0)</f>
        <v>2IN1 CEMENT CANDLE HOLDER 11*5.5*10.5CM#</v>
      </c>
      <c r="D68" s="35">
        <f>VLOOKUP(A68,PACKINGLIST!A:H,4,0)</f>
        <v>12</v>
      </c>
      <c r="E68" s="35">
        <f>VLOOKUP(A68,PACKINGLIST!A:H,5,0)</f>
        <v>12</v>
      </c>
      <c r="F68" s="35">
        <f>VLOOKUP(A68,PACKINGLIST!A:H,6,0)</f>
        <v>144</v>
      </c>
      <c r="G68" s="35" t="str">
        <f>VLOOKUP(A68,PACKINGLIST!A:H,7,0)</f>
        <v>PCS</v>
      </c>
      <c r="H68" s="36">
        <v>0.7781</v>
      </c>
      <c r="I68" s="37">
        <f t="shared" si="1"/>
        <v>112.0464</v>
      </c>
      <c r="J68" s="38">
        <f t="shared" si="2"/>
        <v>0</v>
      </c>
      <c r="K68" s="39"/>
      <c r="L68" s="3">
        <f t="shared" si="3"/>
        <v>0</v>
      </c>
      <c r="M68" s="3">
        <f t="shared" si="4"/>
        <v>0</v>
      </c>
    </row>
    <row r="69" s="3" customFormat="1" ht="14" customHeight="1" spans="1:13">
      <c r="A69" s="34">
        <f t="shared" si="9"/>
        <v>55</v>
      </c>
      <c r="B69" s="35">
        <f>VLOOKUP('USD INVOICE'!A69,PACKINGLIST!A:H,2,0)</f>
        <v>8803287</v>
      </c>
      <c r="C69" s="35" t="str">
        <f>VLOOKUP(A69,PACKINGLIST!A:I,3,0)</f>
        <v>CERAMIC VASE 11.3*11.3*10.4CM#</v>
      </c>
      <c r="D69" s="35">
        <f>VLOOKUP(A69,PACKINGLIST!A:H,4,0)</f>
        <v>23</v>
      </c>
      <c r="E69" s="35">
        <f>VLOOKUP(A69,PACKINGLIST!A:H,5,0)</f>
        <v>12</v>
      </c>
      <c r="F69" s="35">
        <f>VLOOKUP(A69,PACKINGLIST!A:H,6,0)</f>
        <v>276</v>
      </c>
      <c r="G69" s="35" t="str">
        <f>VLOOKUP(A69,PACKINGLIST!A:H,7,0)</f>
        <v>PCS</v>
      </c>
      <c r="H69" s="36">
        <v>1.245</v>
      </c>
      <c r="I69" s="37">
        <f t="shared" si="1"/>
        <v>343.62</v>
      </c>
      <c r="J69" s="38">
        <f t="shared" si="2"/>
        <v>0</v>
      </c>
      <c r="K69" s="39"/>
      <c r="L69" s="3">
        <f t="shared" si="3"/>
        <v>0</v>
      </c>
      <c r="M69" s="3">
        <f t="shared" si="4"/>
        <v>0</v>
      </c>
    </row>
    <row r="70" s="3" customFormat="1" ht="14" customHeight="1" spans="1:13">
      <c r="A70" s="34">
        <f t="shared" si="9"/>
        <v>56</v>
      </c>
      <c r="B70" s="35">
        <f>VLOOKUP('USD INVOICE'!A70,PACKINGLIST!A:H,2,0)</f>
        <v>8803290</v>
      </c>
      <c r="C70" s="35" t="str">
        <f>VLOOKUP(A70,PACKINGLIST!A:I,3,0)</f>
        <v>CERAMIC VASE 11*11*20.5CM#</v>
      </c>
      <c r="D70" s="35">
        <f>VLOOKUP(A70,PACKINGLIST!A:H,4,0)</f>
        <v>14</v>
      </c>
      <c r="E70" s="35">
        <f>VLOOKUP(A70,PACKINGLIST!A:H,5,0)</f>
        <v>12</v>
      </c>
      <c r="F70" s="35">
        <f>VLOOKUP(A70,PACKINGLIST!A:H,6,0)</f>
        <v>168</v>
      </c>
      <c r="G70" s="35" t="str">
        <f>VLOOKUP(A70,PACKINGLIST!A:H,7,0)</f>
        <v>PCS</v>
      </c>
      <c r="H70" s="36">
        <v>1.8055</v>
      </c>
      <c r="I70" s="37">
        <f t="shared" si="1"/>
        <v>303.324</v>
      </c>
      <c r="J70" s="38">
        <f t="shared" si="2"/>
        <v>0</v>
      </c>
      <c r="K70" s="39"/>
      <c r="L70" s="3">
        <f t="shared" si="3"/>
        <v>0</v>
      </c>
      <c r="M70" s="3">
        <f t="shared" si="4"/>
        <v>0</v>
      </c>
    </row>
    <row r="71" s="3" customFormat="1" ht="14" customHeight="1" spans="1:13">
      <c r="A71" s="34">
        <f t="shared" si="9"/>
        <v>57</v>
      </c>
      <c r="B71" s="35">
        <f>VLOOKUP('USD INVOICE'!A71,PACKINGLIST!A:H,2,0)</f>
        <v>9048768</v>
      </c>
      <c r="C71" s="35" t="str">
        <f>VLOOKUP(A71,PACKINGLIST!A:I,3,0)</f>
        <v>ROUND METAL SIDETABLE 35*35*46.5CM#</v>
      </c>
      <c r="D71" s="35">
        <f>VLOOKUP(A71,PACKINGLIST!A:H,4,0)</f>
        <v>5</v>
      </c>
      <c r="E71" s="35">
        <f>VLOOKUP(A71,PACKINGLIST!A:H,5,0)</f>
        <v>6</v>
      </c>
      <c r="F71" s="35">
        <f>VLOOKUP(A71,PACKINGLIST!A:H,6,0)</f>
        <v>30</v>
      </c>
      <c r="G71" s="35" t="str">
        <f>VLOOKUP(A71,PACKINGLIST!A:H,7,0)</f>
        <v>PCS</v>
      </c>
      <c r="H71" s="36">
        <v>4.6686</v>
      </c>
      <c r="I71" s="37">
        <f t="shared" si="1"/>
        <v>140.058</v>
      </c>
      <c r="J71" s="38">
        <f t="shared" si="2"/>
        <v>0</v>
      </c>
      <c r="K71" s="39"/>
      <c r="L71" s="3">
        <f t="shared" si="3"/>
        <v>0</v>
      </c>
      <c r="M71" s="3">
        <f t="shared" si="4"/>
        <v>0</v>
      </c>
    </row>
    <row r="72" s="3" customFormat="1" ht="14" customHeight="1" spans="1:13">
      <c r="A72" s="34">
        <f t="shared" si="9"/>
        <v>58</v>
      </c>
      <c r="B72" s="35">
        <f>VLOOKUP('USD INVOICE'!A72,PACKINGLIST!A:H,2,0)</f>
        <v>8900039</v>
      </c>
      <c r="C72" s="35" t="str">
        <f>VLOOKUP(A72,PACKINGLIST!A:I,3,0)</f>
        <v>COSMETIC BAG YN-1811# 16*8*19CM</v>
      </c>
      <c r="D72" s="35">
        <f>VLOOKUP(A72,PACKINGLIST!A:H,4,0)</f>
        <v>1</v>
      </c>
      <c r="E72" s="35">
        <f>VLOOKUP(A72,PACKINGLIST!A:H,5,0)</f>
        <v>120</v>
      </c>
      <c r="F72" s="35">
        <f>VLOOKUP(A72,PACKINGLIST!A:H,6,0)</f>
        <v>120</v>
      </c>
      <c r="G72" s="35" t="str">
        <f>VLOOKUP(A72,PACKINGLIST!A:H,7,0)</f>
        <v>PCS</v>
      </c>
      <c r="H72" s="36">
        <v>1.8012</v>
      </c>
      <c r="I72" s="37">
        <f t="shared" si="1"/>
        <v>216.144</v>
      </c>
      <c r="J72" s="38">
        <f t="shared" si="2"/>
        <v>0</v>
      </c>
      <c r="K72" s="39"/>
      <c r="L72" s="3">
        <f t="shared" si="3"/>
        <v>0</v>
      </c>
      <c r="M72" s="3">
        <f t="shared" si="4"/>
        <v>0</v>
      </c>
    </row>
    <row r="73" s="3" customFormat="1" ht="14" customHeight="1" spans="1:13">
      <c r="A73" s="34">
        <f t="shared" si="9"/>
        <v>59</v>
      </c>
      <c r="B73" s="35">
        <f>VLOOKUP('USD INVOICE'!A73,PACKINGLIST!A:H,2,0)</f>
        <v>8900042</v>
      </c>
      <c r="C73" s="35" t="str">
        <f>VLOOKUP(A73,PACKINGLIST!A:I,3,0)</f>
        <v>COSMETIC BAG 727-50# 23.5*7.5*15.5CM</v>
      </c>
      <c r="D73" s="35">
        <f>VLOOKUP(A73,PACKINGLIST!A:H,4,0)</f>
        <v>2</v>
      </c>
      <c r="E73" s="35">
        <f>VLOOKUP(A73,PACKINGLIST!A:H,5,0)</f>
        <v>210</v>
      </c>
      <c r="F73" s="35">
        <f>VLOOKUP(A73,PACKINGLIST!A:H,6,0)</f>
        <v>420</v>
      </c>
      <c r="G73" s="35" t="str">
        <f>VLOOKUP(A73,PACKINGLIST!A:H,7,0)</f>
        <v>PCS</v>
      </c>
      <c r="H73" s="36">
        <v>0.951</v>
      </c>
      <c r="I73" s="37">
        <f t="shared" si="1"/>
        <v>399.42</v>
      </c>
      <c r="J73" s="38">
        <f t="shared" si="2"/>
        <v>0</v>
      </c>
      <c r="K73" s="39"/>
      <c r="L73" s="3">
        <f t="shared" si="3"/>
        <v>0</v>
      </c>
      <c r="M73" s="3">
        <f t="shared" si="4"/>
        <v>0</v>
      </c>
    </row>
    <row r="74" s="3" customFormat="1" ht="14" customHeight="1" spans="1:13">
      <c r="A74" s="34">
        <f t="shared" si="9"/>
        <v>60</v>
      </c>
      <c r="B74" s="35">
        <f>VLOOKUP('USD INVOICE'!A74,PACKINGLIST!A:H,2,0)</f>
        <v>8978215</v>
      </c>
      <c r="C74" s="35" t="str">
        <f>VLOOKUP(A74,PACKINGLIST!A:I,3,0)</f>
        <v>SCOURING BALL 2S #TP-713</v>
      </c>
      <c r="D74" s="35">
        <f>VLOOKUP(A74,PACKINGLIST!A:H,4,0)</f>
        <v>7</v>
      </c>
      <c r="E74" s="35">
        <f>VLOOKUP(A74,PACKINGLIST!A:H,5,0)</f>
        <v>72</v>
      </c>
      <c r="F74" s="35">
        <f>VLOOKUP(A74,PACKINGLIST!A:H,6,0)</f>
        <v>504</v>
      </c>
      <c r="G74" s="35" t="str">
        <f>VLOOKUP(A74,PACKINGLIST!A:H,7,0)</f>
        <v>BAG</v>
      </c>
      <c r="H74" s="36">
        <v>0.1556</v>
      </c>
      <c r="I74" s="37">
        <f t="shared" si="1"/>
        <v>78.4224</v>
      </c>
      <c r="J74" s="38">
        <f t="shared" si="2"/>
        <v>0</v>
      </c>
      <c r="K74" s="39"/>
      <c r="L74" s="3">
        <f t="shared" si="3"/>
        <v>0</v>
      </c>
      <c r="M74" s="3">
        <f t="shared" si="4"/>
        <v>0</v>
      </c>
    </row>
    <row r="75" s="3" customFormat="1" ht="14" customHeight="1" spans="1:13">
      <c r="A75" s="34">
        <f t="shared" si="9"/>
        <v>61</v>
      </c>
      <c r="B75" s="35">
        <f>VLOOKUP('USD INVOICE'!A75,PACKINGLIST!A:H,2,0)</f>
        <v>9036240</v>
      </c>
      <c r="C75" s="35" t="str">
        <f>VLOOKUP(A75,PACKINGLIST!A:I,3,0)</f>
        <v>TRAVELLING BAG 2358-574#</v>
      </c>
      <c r="D75" s="35">
        <f>VLOOKUP(A75,PACKINGLIST!A:H,4,0)</f>
        <v>2</v>
      </c>
      <c r="E75" s="35">
        <f>VLOOKUP(A75,PACKINGLIST!A:H,5,0)</f>
        <v>50</v>
      </c>
      <c r="F75" s="35">
        <f>VLOOKUP(A75,PACKINGLIST!A:H,6,0)</f>
        <v>100</v>
      </c>
      <c r="G75" s="35" t="str">
        <f>VLOOKUP(A75,PACKINGLIST!A:H,7,0)</f>
        <v>PCS</v>
      </c>
      <c r="H75" s="36">
        <v>2.3055</v>
      </c>
      <c r="I75" s="37">
        <f t="shared" si="1"/>
        <v>230.55</v>
      </c>
      <c r="J75" s="38">
        <f t="shared" si="2"/>
        <v>0</v>
      </c>
      <c r="K75" s="39"/>
      <c r="L75" s="3">
        <f t="shared" si="3"/>
        <v>0</v>
      </c>
      <c r="M75" s="3">
        <f t="shared" si="4"/>
        <v>0</v>
      </c>
    </row>
    <row r="76" s="3" customFormat="1" ht="14" customHeight="1" spans="1:13">
      <c r="A76" s="34">
        <f t="shared" ref="A76:A85" si="10">ROW()-14</f>
        <v>62</v>
      </c>
      <c r="B76" s="35">
        <f>VLOOKUP('USD INVOICE'!A76,PACKINGLIST!A:H,2,0)</f>
        <v>9036848</v>
      </c>
      <c r="C76" s="35" t="str">
        <f>VLOOKUP(A76,PACKINGLIST!A:I,3,0)</f>
        <v>COSMETIC BAG 2485-335#</v>
      </c>
      <c r="D76" s="35">
        <f>VLOOKUP(A76,PACKINGLIST!A:H,4,0)</f>
        <v>1</v>
      </c>
      <c r="E76" s="35">
        <f>VLOOKUP(A76,PACKINGLIST!A:H,5,0)</f>
        <v>100</v>
      </c>
      <c r="F76" s="35">
        <f>VLOOKUP(A76,PACKINGLIST!A:H,6,0)</f>
        <v>100</v>
      </c>
      <c r="G76" s="35" t="str">
        <f>VLOOKUP(A76,PACKINGLIST!A:H,7,0)</f>
        <v>PCS</v>
      </c>
      <c r="H76" s="36">
        <v>1.5418</v>
      </c>
      <c r="I76" s="37">
        <f t="shared" si="1"/>
        <v>154.18</v>
      </c>
      <c r="J76" s="38">
        <f t="shared" si="2"/>
        <v>0</v>
      </c>
      <c r="K76" s="39"/>
      <c r="L76" s="3">
        <f t="shared" si="3"/>
        <v>0</v>
      </c>
      <c r="M76" s="3">
        <f t="shared" si="4"/>
        <v>0</v>
      </c>
    </row>
    <row r="77" s="3" customFormat="1" ht="14" customHeight="1" spans="1:13">
      <c r="A77" s="34">
        <f t="shared" si="10"/>
        <v>63</v>
      </c>
      <c r="B77" s="35">
        <f>VLOOKUP('USD INVOICE'!A77,PACKINGLIST!A:H,2,0)</f>
        <v>9037408</v>
      </c>
      <c r="C77" s="35" t="str">
        <f>VLOOKUP(A77,PACKINGLIST!A:I,3,0)</f>
        <v>COSMETIC BAG 2609-903#</v>
      </c>
      <c r="D77" s="35">
        <f>VLOOKUP(A77,PACKINGLIST!A:H,4,0)</f>
        <v>1</v>
      </c>
      <c r="E77" s="35">
        <f>VLOOKUP(A77,PACKINGLIST!A:H,5,0)</f>
        <v>150</v>
      </c>
      <c r="F77" s="35">
        <f>VLOOKUP(A77,PACKINGLIST!A:H,6,0)</f>
        <v>150</v>
      </c>
      <c r="G77" s="35" t="str">
        <f>VLOOKUP(A77,PACKINGLIST!A:H,7,0)</f>
        <v>PCS</v>
      </c>
      <c r="H77" s="36">
        <v>1.2248</v>
      </c>
      <c r="I77" s="37">
        <f t="shared" si="1"/>
        <v>183.72</v>
      </c>
      <c r="J77" s="38">
        <f t="shared" si="2"/>
        <v>0</v>
      </c>
      <c r="K77" s="39"/>
      <c r="L77" s="3">
        <f t="shared" si="3"/>
        <v>0</v>
      </c>
      <c r="M77" s="3">
        <f t="shared" si="4"/>
        <v>0</v>
      </c>
    </row>
    <row r="78" s="3" customFormat="1" ht="14" customHeight="1" spans="1:13">
      <c r="A78" s="34">
        <f t="shared" si="10"/>
        <v>64</v>
      </c>
      <c r="B78" s="35">
        <f>VLOOKUP('USD INVOICE'!A78,PACKINGLIST!A:H,2,0)</f>
        <v>9037409</v>
      </c>
      <c r="C78" s="35" t="str">
        <f>VLOOKUP(A78,PACKINGLIST!A:I,3,0)</f>
        <v>COSMETIC BAG 2610-903#</v>
      </c>
      <c r="D78" s="35">
        <f>VLOOKUP(A78,PACKINGLIST!A:H,4,0)</f>
        <v>2</v>
      </c>
      <c r="E78" s="35">
        <f>VLOOKUP(A78,PACKINGLIST!A:H,5,0)</f>
        <v>90</v>
      </c>
      <c r="F78" s="35">
        <f>VLOOKUP(A78,PACKINGLIST!A:H,6,0)</f>
        <v>180</v>
      </c>
      <c r="G78" s="35" t="str">
        <f>VLOOKUP(A78,PACKINGLIST!A:H,7,0)</f>
        <v>PCS</v>
      </c>
      <c r="H78" s="36">
        <v>1.4986</v>
      </c>
      <c r="I78" s="37">
        <f t="shared" si="1"/>
        <v>269.748</v>
      </c>
      <c r="J78" s="38">
        <f t="shared" si="2"/>
        <v>0</v>
      </c>
      <c r="K78" s="39"/>
      <c r="L78" s="3">
        <f t="shared" si="3"/>
        <v>0</v>
      </c>
      <c r="M78" s="3">
        <f t="shared" si="4"/>
        <v>0</v>
      </c>
    </row>
    <row r="79" s="3" customFormat="1" ht="14" customHeight="1" spans="1:13">
      <c r="A79" s="34">
        <f t="shared" si="10"/>
        <v>65</v>
      </c>
      <c r="B79" s="35">
        <f>VLOOKUP('USD INVOICE'!A79,PACKINGLIST!A:H,2,0)</f>
        <v>9039237</v>
      </c>
      <c r="C79" s="35" t="str">
        <f>VLOOKUP(A79,PACKINGLIST!A:I,3,0)</f>
        <v>COSMETIC POUCH 21*12*13CM &amp;13*0.5*11CM</v>
      </c>
      <c r="D79" s="35">
        <f>VLOOKUP(A79,PACKINGLIST!A:H,4,0)</f>
        <v>1</v>
      </c>
      <c r="E79" s="35">
        <f>VLOOKUP(A79,PACKINGLIST!A:H,5,0)</f>
        <v>80</v>
      </c>
      <c r="F79" s="35">
        <f>VLOOKUP(A79,PACKINGLIST!A:H,6,0)</f>
        <v>80</v>
      </c>
      <c r="G79" s="35" t="str">
        <f>VLOOKUP(A79,PACKINGLIST!A:H,7,0)</f>
        <v>PCS</v>
      </c>
      <c r="H79" s="36">
        <v>1.7723</v>
      </c>
      <c r="I79" s="37">
        <f t="shared" si="1"/>
        <v>141.784</v>
      </c>
      <c r="J79" s="38">
        <f t="shared" si="2"/>
        <v>0</v>
      </c>
      <c r="K79" s="39"/>
      <c r="L79" s="3">
        <f t="shared" si="3"/>
        <v>0</v>
      </c>
      <c r="M79" s="3">
        <f t="shared" si="4"/>
        <v>0</v>
      </c>
    </row>
    <row r="80" s="3" customFormat="1" ht="14" customHeight="1" spans="1:13">
      <c r="A80" s="34">
        <f t="shared" si="10"/>
        <v>66</v>
      </c>
      <c r="B80" s="35">
        <f>VLOOKUP('USD INVOICE'!A80,PACKINGLIST!A:H,2,0)</f>
        <v>9039880</v>
      </c>
      <c r="C80" s="35" t="str">
        <f>VLOOKUP(A80,PACKINGLIST!A:I,3,0)</f>
        <v>COSMETIC BAG YX-1346-2W3167# 21*6*12.5CM</v>
      </c>
      <c r="D80" s="35">
        <f>VLOOKUP(A80,PACKINGLIST!A:H,4,0)</f>
        <v>1</v>
      </c>
      <c r="E80" s="35">
        <f>VLOOKUP(A80,PACKINGLIST!A:H,5,0)</f>
        <v>300</v>
      </c>
      <c r="F80" s="35">
        <f>VLOOKUP(A80,PACKINGLIST!A:H,6,0)</f>
        <v>300</v>
      </c>
      <c r="G80" s="35" t="str">
        <f>VLOOKUP(A80,PACKINGLIST!A:H,7,0)</f>
        <v>PCS</v>
      </c>
      <c r="H80" s="36">
        <v>0.6628</v>
      </c>
      <c r="I80" s="37">
        <f t="shared" ref="I80:I143" si="11">F80*H80</f>
        <v>198.84</v>
      </c>
      <c r="J80" s="38">
        <f t="shared" ref="J80:J143" si="12">F80*L80-F80*M80</f>
        <v>0</v>
      </c>
      <c r="K80" s="39"/>
      <c r="L80" s="3">
        <f t="shared" ref="L80:L143" si="13">K80/7.09</f>
        <v>0</v>
      </c>
      <c r="M80" s="3">
        <f t="shared" ref="M80:M143" si="14">ROUND(L80,4)</f>
        <v>0</v>
      </c>
    </row>
    <row r="81" s="3" customFormat="1" ht="14" customHeight="1" spans="1:13">
      <c r="A81" s="34">
        <f t="shared" si="10"/>
        <v>67</v>
      </c>
      <c r="B81" s="35">
        <f>VLOOKUP('USD INVOICE'!A81,PACKINGLIST!A:H,2,0)</f>
        <v>9039881</v>
      </c>
      <c r="C81" s="35" t="str">
        <f>VLOOKUP(A81,PACKINGLIST!A:I,3,0)</f>
        <v>COSMETIC BAG 727-41# 23*7*16.5CM</v>
      </c>
      <c r="D81" s="35">
        <f>VLOOKUP(A81,PACKINGLIST!A:H,4,0)</f>
        <v>1</v>
      </c>
      <c r="E81" s="35">
        <f>VLOOKUP(A81,PACKINGLIST!A:H,5,0)</f>
        <v>180</v>
      </c>
      <c r="F81" s="35">
        <f>VLOOKUP(A81,PACKINGLIST!A:H,6,0)</f>
        <v>180</v>
      </c>
      <c r="G81" s="35" t="str">
        <f>VLOOKUP(A81,PACKINGLIST!A:H,7,0)</f>
        <v>PCS</v>
      </c>
      <c r="H81" s="36">
        <v>0.9222</v>
      </c>
      <c r="I81" s="37">
        <f t="shared" si="11"/>
        <v>165.996</v>
      </c>
      <c r="J81" s="38">
        <f t="shared" si="12"/>
        <v>0</v>
      </c>
      <c r="K81" s="39"/>
      <c r="L81" s="3">
        <f t="shared" si="13"/>
        <v>0</v>
      </c>
      <c r="M81" s="3">
        <f t="shared" si="14"/>
        <v>0</v>
      </c>
    </row>
    <row r="82" s="3" customFormat="1" ht="14" customHeight="1" spans="1:13">
      <c r="A82" s="34">
        <f t="shared" si="10"/>
        <v>68</v>
      </c>
      <c r="B82" s="35">
        <f>VLOOKUP('USD INVOICE'!A82,PACKINGLIST!A:H,2,0)</f>
        <v>9055345</v>
      </c>
      <c r="C82" s="35" t="str">
        <f>VLOOKUP(A82,PACKINGLIST!A:I,3,0)</f>
        <v>COSMETICS BAG 860-504#</v>
      </c>
      <c r="D82" s="35">
        <f>VLOOKUP(A82,PACKINGLIST!A:H,4,0)</f>
        <v>2</v>
      </c>
      <c r="E82" s="35">
        <f>VLOOKUP(A82,PACKINGLIST!A:H,5,0)</f>
        <v>120</v>
      </c>
      <c r="F82" s="35">
        <f>VLOOKUP(A82,PACKINGLIST!A:H,6,0)</f>
        <v>240</v>
      </c>
      <c r="G82" s="35" t="str">
        <f>VLOOKUP(A82,PACKINGLIST!A:H,7,0)</f>
        <v>PCS</v>
      </c>
      <c r="H82" s="36">
        <v>2.0173</v>
      </c>
      <c r="I82" s="37">
        <f t="shared" si="11"/>
        <v>484.152</v>
      </c>
      <c r="J82" s="38">
        <f t="shared" si="12"/>
        <v>0</v>
      </c>
      <c r="K82" s="39"/>
      <c r="L82" s="3">
        <f t="shared" si="13"/>
        <v>0</v>
      </c>
      <c r="M82" s="3">
        <f t="shared" si="14"/>
        <v>0</v>
      </c>
    </row>
    <row r="83" s="3" customFormat="1" ht="14" customHeight="1" spans="1:13">
      <c r="A83" s="34">
        <f t="shared" si="10"/>
        <v>69</v>
      </c>
      <c r="B83" s="35">
        <f>VLOOKUP('USD INVOICE'!A83,PACKINGLIST!A:H,2,0)</f>
        <v>8978148</v>
      </c>
      <c r="C83" s="35" t="str">
        <f>VLOOKUP(A83,PACKINGLIST!A:I,3,0)</f>
        <v>SCOURING PAD 3S #NS23001</v>
      </c>
      <c r="D83" s="35">
        <f>VLOOKUP(A83,PACKINGLIST!A:H,4,0)</f>
        <v>2</v>
      </c>
      <c r="E83" s="35">
        <f>VLOOKUP(A83,PACKINGLIST!A:H,5,0)</f>
        <v>96</v>
      </c>
      <c r="F83" s="35">
        <f>VLOOKUP(A83,PACKINGLIST!A:H,6,0)</f>
        <v>192</v>
      </c>
      <c r="G83" s="35" t="str">
        <f>VLOOKUP(A83,PACKINGLIST!A:H,7,0)</f>
        <v>BAG</v>
      </c>
      <c r="H83" s="36">
        <v>0.2089</v>
      </c>
      <c r="I83" s="37">
        <f t="shared" si="11"/>
        <v>40.1088</v>
      </c>
      <c r="J83" s="38">
        <f t="shared" si="12"/>
        <v>0</v>
      </c>
      <c r="K83" s="39"/>
      <c r="L83" s="3">
        <f t="shared" si="13"/>
        <v>0</v>
      </c>
      <c r="M83" s="3">
        <f t="shared" si="14"/>
        <v>0</v>
      </c>
    </row>
    <row r="84" s="3" customFormat="1" ht="14" customHeight="1" spans="1:13">
      <c r="A84" s="34">
        <f t="shared" si="10"/>
        <v>70</v>
      </c>
      <c r="B84" s="35">
        <f>VLOOKUP('USD INVOICE'!A84,PACKINGLIST!A:H,2,0)</f>
        <v>8978147</v>
      </c>
      <c r="C84" s="35" t="str">
        <f>VLOOKUP(A84,PACKINGLIST!A:I,3,0)</f>
        <v>SCOURING PAD 10S #SD10-02</v>
      </c>
      <c r="D84" s="35">
        <f>VLOOKUP(A84,PACKINGLIST!A:H,4,0)</f>
        <v>3</v>
      </c>
      <c r="E84" s="35">
        <f>VLOOKUP(A84,PACKINGLIST!A:H,5,0)</f>
        <v>100</v>
      </c>
      <c r="F84" s="35">
        <f>VLOOKUP(A84,PACKINGLIST!A:H,6,0)</f>
        <v>300</v>
      </c>
      <c r="G84" s="35" t="str">
        <f>VLOOKUP(A84,PACKINGLIST!A:H,7,0)</f>
        <v>BAG</v>
      </c>
      <c r="H84" s="36">
        <v>0.1081</v>
      </c>
      <c r="I84" s="37">
        <f t="shared" si="11"/>
        <v>32.43</v>
      </c>
      <c r="J84" s="38">
        <f t="shared" si="12"/>
        <v>0</v>
      </c>
      <c r="K84" s="39"/>
      <c r="L84" s="3">
        <f t="shared" si="13"/>
        <v>0</v>
      </c>
      <c r="M84" s="3">
        <f t="shared" si="14"/>
        <v>0</v>
      </c>
    </row>
    <row r="85" s="3" customFormat="1" ht="14" customHeight="1" spans="1:13">
      <c r="A85" s="34">
        <f t="shared" si="10"/>
        <v>71</v>
      </c>
      <c r="B85" s="35">
        <f>VLOOKUP('USD INVOICE'!A85,PACKINGLIST!A:H,2,0)</f>
        <v>8955028</v>
      </c>
      <c r="C85" s="35" t="str">
        <f>VLOOKUP(A85,PACKINGLIST!A:I,3,0)</f>
        <v>WOODEN PEN HOLDER 10*9*7.3CM_MZ-365#</v>
      </c>
      <c r="D85" s="35">
        <f>VLOOKUP(A85,PACKINGLIST!A:H,4,0)</f>
        <v>2</v>
      </c>
      <c r="E85" s="35">
        <f>VLOOKUP(A85,PACKINGLIST!A:H,5,0)</f>
        <v>240</v>
      </c>
      <c r="F85" s="35">
        <f>VLOOKUP(A85,PACKINGLIST!A:H,6,0)</f>
        <v>480</v>
      </c>
      <c r="G85" s="35" t="str">
        <f>VLOOKUP(A85,PACKINGLIST!A:H,7,0)</f>
        <v>SET</v>
      </c>
      <c r="H85" s="36">
        <v>0.3458</v>
      </c>
      <c r="I85" s="37">
        <f t="shared" si="11"/>
        <v>165.984</v>
      </c>
      <c r="J85" s="38">
        <f t="shared" si="12"/>
        <v>0</v>
      </c>
      <c r="K85" s="39"/>
      <c r="L85" s="3">
        <f t="shared" si="13"/>
        <v>0</v>
      </c>
      <c r="M85" s="3">
        <f t="shared" si="14"/>
        <v>0</v>
      </c>
    </row>
    <row r="86" s="3" customFormat="1" ht="14" customHeight="1" spans="1:13">
      <c r="A86" s="34">
        <f t="shared" ref="A86:A95" si="15">ROW()-14</f>
        <v>72</v>
      </c>
      <c r="B86" s="35">
        <f>VLOOKUP('USD INVOICE'!A86,PACKINGLIST!A:H,2,0)</f>
        <v>8920377</v>
      </c>
      <c r="C86" s="35" t="str">
        <f>VLOOKUP(A86,PACKINGLIST!A:I,3,0)</f>
        <v>HAIR TIE (PANDA) PD003#</v>
      </c>
      <c r="D86" s="35">
        <f>VLOOKUP(A86,PACKINGLIST!A:H,4,0)</f>
        <v>1</v>
      </c>
      <c r="E86" s="35">
        <f>VLOOKUP(A86,PACKINGLIST!A:H,5,0)</f>
        <v>600</v>
      </c>
      <c r="F86" s="35">
        <f>VLOOKUP(A86,PACKINGLIST!A:H,6,0)</f>
        <v>600</v>
      </c>
      <c r="G86" s="35" t="str">
        <f>VLOOKUP(A86,PACKINGLIST!A:H,7,0)</f>
        <v>PCS</v>
      </c>
      <c r="H86" s="36">
        <v>0.1657</v>
      </c>
      <c r="I86" s="37">
        <f t="shared" si="11"/>
        <v>99.42</v>
      </c>
      <c r="J86" s="38">
        <f t="shared" si="12"/>
        <v>0</v>
      </c>
      <c r="K86" s="39"/>
      <c r="L86" s="3">
        <f t="shared" si="13"/>
        <v>0</v>
      </c>
      <c r="M86" s="3">
        <f t="shared" si="14"/>
        <v>0</v>
      </c>
    </row>
    <row r="87" s="3" customFormat="1" ht="14" customHeight="1" spans="1:13">
      <c r="A87" s="34">
        <f t="shared" si="15"/>
        <v>73</v>
      </c>
      <c r="B87" s="35">
        <f>VLOOKUP('USD INVOICE'!A87,PACKINGLIST!A:H,2,0)</f>
        <v>8920378</v>
      </c>
      <c r="C87" s="35" t="str">
        <f>VLOOKUP(A87,PACKINGLIST!A:I,3,0)</f>
        <v>HAIR SCRUNCHIE (PANDA) PD004#</v>
      </c>
      <c r="D87" s="35">
        <f>VLOOKUP(A87,PACKINGLIST!A:H,4,0)</f>
        <v>1</v>
      </c>
      <c r="E87" s="35">
        <f>VLOOKUP(A87,PACKINGLIST!A:H,5,0)</f>
        <v>400</v>
      </c>
      <c r="F87" s="35">
        <f>VLOOKUP(A87,PACKINGLIST!A:H,6,0)</f>
        <v>400</v>
      </c>
      <c r="G87" s="35" t="str">
        <f>VLOOKUP(A87,PACKINGLIST!A:H,7,0)</f>
        <v>PCS</v>
      </c>
      <c r="H87" s="36">
        <v>0.2954</v>
      </c>
      <c r="I87" s="37">
        <f t="shared" si="11"/>
        <v>118.16</v>
      </c>
      <c r="J87" s="38">
        <f t="shared" si="12"/>
        <v>0</v>
      </c>
      <c r="K87" s="39"/>
      <c r="L87" s="3">
        <f t="shared" si="13"/>
        <v>0</v>
      </c>
      <c r="M87" s="3">
        <f t="shared" si="14"/>
        <v>0</v>
      </c>
    </row>
    <row r="88" s="3" customFormat="1" ht="14" customHeight="1" spans="1:13">
      <c r="A88" s="34">
        <f t="shared" si="15"/>
        <v>74</v>
      </c>
      <c r="B88" s="35">
        <f>VLOOKUP('USD INVOICE'!A88,PACKINGLIST!A:H,2,0)</f>
        <v>9059311</v>
      </c>
      <c r="C88" s="35" t="str">
        <f>VLOOKUP(A88,PACKINGLIST!A:I,3,0)</f>
        <v>SLEEPING EYE MASK (PLAIN)</v>
      </c>
      <c r="D88" s="35">
        <f>VLOOKUP(A88,PACKINGLIST!A:H,4,0)</f>
        <v>1</v>
      </c>
      <c r="E88" s="35">
        <f>VLOOKUP(A88,PACKINGLIST!A:H,5,0)</f>
        <v>600</v>
      </c>
      <c r="F88" s="35">
        <f>VLOOKUP(A88,PACKINGLIST!A:H,6,0)</f>
        <v>600</v>
      </c>
      <c r="G88" s="35" t="str">
        <f>VLOOKUP(A88,PACKINGLIST!A:H,7,0)</f>
        <v>PCS</v>
      </c>
      <c r="H88" s="36">
        <v>0.3674</v>
      </c>
      <c r="I88" s="37">
        <f t="shared" si="11"/>
        <v>220.44</v>
      </c>
      <c r="J88" s="38">
        <f t="shared" si="12"/>
        <v>0</v>
      </c>
      <c r="K88" s="39"/>
      <c r="L88" s="3">
        <f t="shared" si="13"/>
        <v>0</v>
      </c>
      <c r="M88" s="3">
        <f t="shared" si="14"/>
        <v>0</v>
      </c>
    </row>
    <row r="89" s="3" customFormat="1" ht="14" customHeight="1" spans="1:13">
      <c r="A89" s="34">
        <f t="shared" si="15"/>
        <v>75</v>
      </c>
      <c r="B89" s="35">
        <f>VLOOKUP('USD INVOICE'!A89,PACKINGLIST!A:H,2,0)</f>
        <v>9035047</v>
      </c>
      <c r="C89" s="35" t="str">
        <f>VLOOKUP(A89,PACKINGLIST!A:I,3,0)</f>
        <v>LAUNDRY BASKET 40*50CM</v>
      </c>
      <c r="D89" s="35">
        <f>VLOOKUP(A89,PACKINGLIST!A:H,4,0)</f>
        <v>5</v>
      </c>
      <c r="E89" s="35">
        <f>VLOOKUP(A89,PACKINGLIST!A:H,5,0)</f>
        <v>50</v>
      </c>
      <c r="F89" s="35">
        <f>VLOOKUP(A89,PACKINGLIST!A:H,6,0)</f>
        <v>250</v>
      </c>
      <c r="G89" s="35" t="str">
        <f>VLOOKUP(A89,PACKINGLIST!A:H,7,0)</f>
        <v>PCS</v>
      </c>
      <c r="H89" s="36">
        <v>1.8012</v>
      </c>
      <c r="I89" s="37">
        <f t="shared" si="11"/>
        <v>450.3</v>
      </c>
      <c r="J89" s="38">
        <f t="shared" si="12"/>
        <v>0</v>
      </c>
      <c r="K89" s="39"/>
      <c r="L89" s="3">
        <f t="shared" si="13"/>
        <v>0</v>
      </c>
      <c r="M89" s="3">
        <f t="shared" si="14"/>
        <v>0</v>
      </c>
    </row>
    <row r="90" s="3" customFormat="1" ht="14" customHeight="1" spans="1:13">
      <c r="A90" s="34">
        <f t="shared" si="15"/>
        <v>76</v>
      </c>
      <c r="B90" s="35">
        <f>VLOOKUP('USD INVOICE'!A90,PACKINGLIST!A:H,2,0)</f>
        <v>9038556</v>
      </c>
      <c r="C90" s="35" t="str">
        <f>VLOOKUP(A90,PACKINGLIST!A:I,3,0)</f>
        <v>STORAGE BASKET  35*40CM 3MP LARGE</v>
      </c>
      <c r="D90" s="35">
        <f>VLOOKUP(A90,PACKINGLIST!A:H,4,0)</f>
        <v>7</v>
      </c>
      <c r="E90" s="35">
        <f>VLOOKUP(A90,PACKINGLIST!A:H,5,0)</f>
        <v>48</v>
      </c>
      <c r="F90" s="35">
        <f>VLOOKUP(A90,PACKINGLIST!A:H,6,0)</f>
        <v>336</v>
      </c>
      <c r="G90" s="35" t="str">
        <f>VLOOKUP(A90,PACKINGLIST!A:H,7,0)</f>
        <v>PCS</v>
      </c>
      <c r="H90" s="36">
        <v>1.9452</v>
      </c>
      <c r="I90" s="37">
        <f t="shared" si="11"/>
        <v>653.5872</v>
      </c>
      <c r="J90" s="38">
        <f t="shared" si="12"/>
        <v>0</v>
      </c>
      <c r="K90" s="39"/>
      <c r="L90" s="3">
        <f t="shared" si="13"/>
        <v>0</v>
      </c>
      <c r="M90" s="3">
        <f t="shared" si="14"/>
        <v>0</v>
      </c>
    </row>
    <row r="91" s="3" customFormat="1" ht="14" customHeight="1" spans="1:13">
      <c r="A91" s="34">
        <f t="shared" si="15"/>
        <v>77</v>
      </c>
      <c r="B91" s="35">
        <f>VLOOKUP('USD INVOICE'!A91,PACKINGLIST!A:H,2,0)</f>
        <v>9038980</v>
      </c>
      <c r="C91" s="35" t="str">
        <f>VLOOKUP(A91,PACKINGLIST!A:I,3,0)</f>
        <v>LAUNDRY BASKET 40X50CM #LEAF 2MP</v>
      </c>
      <c r="D91" s="35">
        <f>VLOOKUP(A91,PACKINGLIST!A:H,4,0)</f>
        <v>4</v>
      </c>
      <c r="E91" s="35">
        <f>VLOOKUP(A91,PACKINGLIST!A:H,5,0)</f>
        <v>96</v>
      </c>
      <c r="F91" s="35">
        <f>VLOOKUP(A91,PACKINGLIST!A:H,6,0)</f>
        <v>384</v>
      </c>
      <c r="G91" s="35" t="str">
        <f>VLOOKUP(A91,PACKINGLIST!A:H,7,0)</f>
        <v>PCS</v>
      </c>
      <c r="H91" s="36">
        <v>1.0519</v>
      </c>
      <c r="I91" s="37">
        <f t="shared" si="11"/>
        <v>403.9296</v>
      </c>
      <c r="J91" s="38">
        <f t="shared" si="12"/>
        <v>0</v>
      </c>
      <c r="K91" s="39"/>
      <c r="L91" s="3">
        <f t="shared" si="13"/>
        <v>0</v>
      </c>
      <c r="M91" s="3">
        <f t="shared" si="14"/>
        <v>0</v>
      </c>
    </row>
    <row r="92" s="3" customFormat="1" ht="14" customHeight="1" spans="1:13">
      <c r="A92" s="34">
        <f t="shared" si="15"/>
        <v>78</v>
      </c>
      <c r="B92" s="35">
        <f>VLOOKUP('USD INVOICE'!A92,PACKINGLIST!A:H,2,0)</f>
        <v>9005313</v>
      </c>
      <c r="C92" s="35" t="str">
        <f>VLOOKUP(A92,PACKINGLIST!A:I,3,0)</f>
        <v>CHENILLE GLOVE -C24630 31CM*22CM</v>
      </c>
      <c r="D92" s="35">
        <f>VLOOKUP(A92,PACKINGLIST!A:H,4,0)</f>
        <v>3</v>
      </c>
      <c r="E92" s="35">
        <f>VLOOKUP(A92,PACKINGLIST!A:H,5,0)</f>
        <v>180</v>
      </c>
      <c r="F92" s="35">
        <f>VLOOKUP(A92,PACKINGLIST!A:H,6,0)</f>
        <v>540</v>
      </c>
      <c r="G92" s="35" t="str">
        <f>VLOOKUP(A92,PACKINGLIST!A:H,7,0)</f>
        <v>PCS</v>
      </c>
      <c r="H92" s="36">
        <v>0.562</v>
      </c>
      <c r="I92" s="37">
        <f t="shared" si="11"/>
        <v>303.48</v>
      </c>
      <c r="J92" s="38">
        <f t="shared" si="12"/>
        <v>0</v>
      </c>
      <c r="K92" s="39"/>
      <c r="L92" s="3">
        <f t="shared" si="13"/>
        <v>0</v>
      </c>
      <c r="M92" s="3">
        <f t="shared" si="14"/>
        <v>0</v>
      </c>
    </row>
    <row r="93" s="3" customFormat="1" ht="14" customHeight="1" spans="1:13">
      <c r="A93" s="34">
        <f t="shared" si="15"/>
        <v>79</v>
      </c>
      <c r="B93" s="35">
        <f>VLOOKUP('USD INVOICE'!A93,PACKINGLIST!A:H,2,0)</f>
        <v>9005318</v>
      </c>
      <c r="C93" s="35" t="str">
        <f>VLOOKUP(A93,PACKINGLIST!A:I,3,0)</f>
        <v>CHENILLE GLOVE -C24635 22CM*29CM</v>
      </c>
      <c r="D93" s="35">
        <f>VLOOKUP(A93,PACKINGLIST!A:H,4,0)</f>
        <v>4</v>
      </c>
      <c r="E93" s="35">
        <f>VLOOKUP(A93,PACKINGLIST!A:H,5,0)</f>
        <v>120</v>
      </c>
      <c r="F93" s="35">
        <f>VLOOKUP(A93,PACKINGLIST!A:H,6,0)</f>
        <v>480</v>
      </c>
      <c r="G93" s="35" t="str">
        <f>VLOOKUP(A93,PACKINGLIST!A:H,7,0)</f>
        <v>PCS</v>
      </c>
      <c r="H93" s="36">
        <v>0.9366</v>
      </c>
      <c r="I93" s="37">
        <f t="shared" si="11"/>
        <v>449.568</v>
      </c>
      <c r="J93" s="38">
        <f t="shared" si="12"/>
        <v>0</v>
      </c>
      <c r="K93" s="39"/>
      <c r="L93" s="3">
        <f t="shared" si="13"/>
        <v>0</v>
      </c>
      <c r="M93" s="3">
        <f t="shared" si="14"/>
        <v>0</v>
      </c>
    </row>
    <row r="94" s="3" customFormat="1" ht="14" customHeight="1" spans="1:13">
      <c r="A94" s="34">
        <f t="shared" si="15"/>
        <v>80</v>
      </c>
      <c r="B94" s="35">
        <f>VLOOKUP('USD INVOICE'!A94,PACKINGLIST!A:H,2,0)</f>
        <v>8950202</v>
      </c>
      <c r="C94" s="35" t="str">
        <f>VLOOKUP(A94,PACKINGLIST!A:I,3,0)</f>
        <v>A5 NOTEBOOK LK7014#</v>
      </c>
      <c r="D94" s="35">
        <f>VLOOKUP(A94,PACKINGLIST!A:H,4,0)</f>
        <v>2</v>
      </c>
      <c r="E94" s="35">
        <f>VLOOKUP(A94,PACKINGLIST!A:H,5,0)</f>
        <v>48</v>
      </c>
      <c r="F94" s="35">
        <f>VLOOKUP(A94,PACKINGLIST!A:H,6,0)</f>
        <v>96</v>
      </c>
      <c r="G94" s="35" t="str">
        <f>VLOOKUP(A94,PACKINGLIST!A:H,7,0)</f>
        <v>PCS</v>
      </c>
      <c r="H94" s="36">
        <v>0.6916</v>
      </c>
      <c r="I94" s="37">
        <f t="shared" si="11"/>
        <v>66.3936</v>
      </c>
      <c r="J94" s="38">
        <f t="shared" si="12"/>
        <v>0</v>
      </c>
      <c r="K94" s="39"/>
      <c r="L94" s="3">
        <f t="shared" si="13"/>
        <v>0</v>
      </c>
      <c r="M94" s="3">
        <f t="shared" si="14"/>
        <v>0</v>
      </c>
    </row>
    <row r="95" s="3" customFormat="1" ht="14" customHeight="1" spans="1:13">
      <c r="A95" s="34">
        <f t="shared" si="15"/>
        <v>81</v>
      </c>
      <c r="B95" s="35">
        <f>VLOOKUP('USD INVOICE'!A95,PACKINGLIST!A:H,2,0)</f>
        <v>8950799</v>
      </c>
      <c r="C95" s="35" t="str">
        <f>VLOOKUP(A95,PACKINGLIST!A:I,3,0)</f>
        <v>A5 NOTEBOOK LK5024#</v>
      </c>
      <c r="D95" s="35">
        <f>VLOOKUP(A95,PACKINGLIST!A:H,4,0)</f>
        <v>10</v>
      </c>
      <c r="E95" s="35">
        <f>VLOOKUP(A95,PACKINGLIST!A:H,5,0)</f>
        <v>48</v>
      </c>
      <c r="F95" s="35">
        <f>VLOOKUP(A95,PACKINGLIST!A:H,6,0)</f>
        <v>480</v>
      </c>
      <c r="G95" s="35" t="str">
        <f>VLOOKUP(A95,PACKINGLIST!A:H,7,0)</f>
        <v>PCS</v>
      </c>
      <c r="H95" s="36">
        <v>0.6916</v>
      </c>
      <c r="I95" s="37">
        <f t="shared" si="11"/>
        <v>331.968</v>
      </c>
      <c r="J95" s="38">
        <f t="shared" si="12"/>
        <v>0</v>
      </c>
      <c r="K95" s="39"/>
      <c r="L95" s="3">
        <f t="shared" si="13"/>
        <v>0</v>
      </c>
      <c r="M95" s="3">
        <f t="shared" si="14"/>
        <v>0</v>
      </c>
    </row>
    <row r="96" s="3" customFormat="1" ht="14" customHeight="1" spans="1:13">
      <c r="A96" s="34">
        <f t="shared" ref="A96:A105" si="16">ROW()-14</f>
        <v>82</v>
      </c>
      <c r="B96" s="35">
        <f>VLOOKUP('USD INVOICE'!A96,PACKINGLIST!A:H,2,0)</f>
        <v>8950800</v>
      </c>
      <c r="C96" s="35" t="str">
        <f>VLOOKUP(A96,PACKINGLIST!A:I,3,0)</f>
        <v>NOTEBOOK SET LK5054#</v>
      </c>
      <c r="D96" s="35">
        <f>VLOOKUP(A96,PACKINGLIST!A:H,4,0)</f>
        <v>6</v>
      </c>
      <c r="E96" s="35">
        <f>VLOOKUP(A96,PACKINGLIST!A:H,5,0)</f>
        <v>48</v>
      </c>
      <c r="F96" s="35">
        <f>VLOOKUP(A96,PACKINGLIST!A:H,6,0)</f>
        <v>288</v>
      </c>
      <c r="G96" s="35" t="str">
        <f>VLOOKUP(A96,PACKINGLIST!A:H,7,0)</f>
        <v>PCS</v>
      </c>
      <c r="H96" s="36">
        <v>0.8357</v>
      </c>
      <c r="I96" s="37">
        <f t="shared" si="11"/>
        <v>240.6816</v>
      </c>
      <c r="J96" s="38">
        <f t="shared" si="12"/>
        <v>0</v>
      </c>
      <c r="K96" s="39"/>
      <c r="L96" s="3">
        <f t="shared" si="13"/>
        <v>0</v>
      </c>
      <c r="M96" s="3">
        <f t="shared" si="14"/>
        <v>0</v>
      </c>
    </row>
    <row r="97" s="3" customFormat="1" ht="14" customHeight="1" spans="1:13">
      <c r="A97" s="34">
        <f t="shared" si="16"/>
        <v>83</v>
      </c>
      <c r="B97" s="35">
        <f>VLOOKUP('USD INVOICE'!A97,PACKINGLIST!A:H,2,0)</f>
        <v>8950805</v>
      </c>
      <c r="C97" s="35" t="str">
        <f>VLOOKUP(A97,PACKINGLIST!A:I,3,0)</f>
        <v>A4 NOTEPAD LK5034#</v>
      </c>
      <c r="D97" s="35">
        <f>VLOOKUP(A97,PACKINGLIST!A:H,4,0)</f>
        <v>18</v>
      </c>
      <c r="E97" s="35">
        <f>VLOOKUP(A97,PACKINGLIST!A:H,5,0)</f>
        <v>24</v>
      </c>
      <c r="F97" s="35">
        <f>VLOOKUP(A97,PACKINGLIST!A:H,6,0)</f>
        <v>432</v>
      </c>
      <c r="G97" s="35" t="str">
        <f>VLOOKUP(A97,PACKINGLIST!A:H,7,0)</f>
        <v>PCS</v>
      </c>
      <c r="H97" s="36">
        <v>1.1527</v>
      </c>
      <c r="I97" s="37">
        <f t="shared" si="11"/>
        <v>497.9664</v>
      </c>
      <c r="J97" s="38">
        <f t="shared" si="12"/>
        <v>0</v>
      </c>
      <c r="K97" s="39"/>
      <c r="L97" s="3">
        <f t="shared" si="13"/>
        <v>0</v>
      </c>
      <c r="M97" s="3">
        <f t="shared" si="14"/>
        <v>0</v>
      </c>
    </row>
    <row r="98" s="3" customFormat="1" ht="14" customHeight="1" spans="1:13">
      <c r="A98" s="34">
        <f t="shared" si="16"/>
        <v>84</v>
      </c>
      <c r="B98" s="35">
        <f>VLOOKUP('USD INVOICE'!A98,PACKINGLIST!A:H,2,0)</f>
        <v>8954414</v>
      </c>
      <c r="C98" s="35" t="str">
        <f>VLOOKUP(A98,PACKINGLIST!A:I,3,0)</f>
        <v>PIN SET_Flo-18#</v>
      </c>
      <c r="D98" s="35">
        <f>VLOOKUP(A98,PACKINGLIST!A:H,4,0)</f>
        <v>6</v>
      </c>
      <c r="E98" s="35">
        <f>VLOOKUP(A98,PACKINGLIST!A:H,5,0)</f>
        <v>144</v>
      </c>
      <c r="F98" s="35">
        <f>VLOOKUP(A98,PACKINGLIST!A:H,6,0)</f>
        <v>864</v>
      </c>
      <c r="G98" s="35" t="str">
        <f>VLOOKUP(A98,PACKINGLIST!A:H,7,0)</f>
        <v>SET</v>
      </c>
      <c r="H98" s="36">
        <v>0.4035</v>
      </c>
      <c r="I98" s="37">
        <f t="shared" si="11"/>
        <v>348.624</v>
      </c>
      <c r="J98" s="38">
        <f t="shared" si="12"/>
        <v>0</v>
      </c>
      <c r="K98" s="39"/>
      <c r="L98" s="3">
        <f t="shared" si="13"/>
        <v>0</v>
      </c>
      <c r="M98" s="3">
        <f t="shared" si="14"/>
        <v>0</v>
      </c>
    </row>
    <row r="99" s="3" customFormat="1" ht="14" customHeight="1" spans="1:13">
      <c r="A99" s="34">
        <f t="shared" si="16"/>
        <v>85</v>
      </c>
      <c r="B99" s="35">
        <f>VLOOKUP('USD INVOICE'!A99,PACKINGLIST!A:H,2,0)</f>
        <v>8954418</v>
      </c>
      <c r="C99" s="35" t="str">
        <f>VLOOKUP(A99,PACKINGLIST!A:I,3,0)</f>
        <v>NOTEBOOK A5_Flo-07#</v>
      </c>
      <c r="D99" s="35">
        <f>VLOOKUP(A99,PACKINGLIST!A:H,4,0)</f>
        <v>6</v>
      </c>
      <c r="E99" s="35">
        <f>VLOOKUP(A99,PACKINGLIST!A:H,5,0)</f>
        <v>48</v>
      </c>
      <c r="F99" s="35">
        <f>VLOOKUP(A99,PACKINGLIST!A:H,6,0)</f>
        <v>288</v>
      </c>
      <c r="G99" s="35" t="str">
        <f>VLOOKUP(A99,PACKINGLIST!A:H,7,0)</f>
        <v>PCS</v>
      </c>
      <c r="H99" s="36">
        <v>0.7133</v>
      </c>
      <c r="I99" s="37">
        <f t="shared" si="11"/>
        <v>205.4304</v>
      </c>
      <c r="J99" s="38">
        <f t="shared" si="12"/>
        <v>0</v>
      </c>
      <c r="K99" s="39"/>
      <c r="L99" s="3">
        <f t="shared" si="13"/>
        <v>0</v>
      </c>
      <c r="M99" s="3">
        <f t="shared" si="14"/>
        <v>0</v>
      </c>
    </row>
    <row r="100" s="3" customFormat="1" ht="14" customHeight="1" spans="1:13">
      <c r="A100" s="34">
        <f t="shared" si="16"/>
        <v>86</v>
      </c>
      <c r="B100" s="35">
        <f>VLOOKUP('USD INVOICE'!A100,PACKINGLIST!A:H,2,0)</f>
        <v>9048668</v>
      </c>
      <c r="C100" s="35" t="str">
        <f>VLOOKUP(A100,PACKINGLIST!A:I,3,0)</f>
        <v>GIFT BAG  34*34*12CM_23-5#</v>
      </c>
      <c r="D100" s="35">
        <f>VLOOKUP(A100,PACKINGLIST!A:H,4,0)</f>
        <v>11</v>
      </c>
      <c r="E100" s="35">
        <f>VLOOKUP(A100,PACKINGLIST!A:H,5,0)</f>
        <v>120</v>
      </c>
      <c r="F100" s="35">
        <f>VLOOKUP(A100,PACKINGLIST!A:H,6,0)</f>
        <v>1320</v>
      </c>
      <c r="G100" s="35" t="str">
        <f>VLOOKUP(A100,PACKINGLIST!A:H,7,0)</f>
        <v>PCS</v>
      </c>
      <c r="H100" s="36">
        <v>0.2277</v>
      </c>
      <c r="I100" s="37">
        <f t="shared" si="11"/>
        <v>300.564</v>
      </c>
      <c r="J100" s="38">
        <f t="shared" si="12"/>
        <v>0</v>
      </c>
      <c r="K100" s="39"/>
      <c r="L100" s="3">
        <f t="shared" si="13"/>
        <v>0</v>
      </c>
      <c r="M100" s="3">
        <f t="shared" si="14"/>
        <v>0</v>
      </c>
    </row>
    <row r="101" s="3" customFormat="1" ht="14" customHeight="1" spans="1:13">
      <c r="A101" s="34">
        <f t="shared" si="16"/>
        <v>87</v>
      </c>
      <c r="B101" s="35">
        <f>VLOOKUP('USD INVOICE'!A101,PACKINGLIST!A:H,2,0)</f>
        <v>9048985</v>
      </c>
      <c r="C101" s="35" t="str">
        <f>VLOOKUP(A101,PACKINGLIST!A:I,3,0)</f>
        <v>GIFT BAG 18*23*10CM_GB24-1201#</v>
      </c>
      <c r="D101" s="35">
        <f>VLOOKUP(A101,PACKINGLIST!A:H,4,0)</f>
        <v>1</v>
      </c>
      <c r="E101" s="35">
        <f>VLOOKUP(A101,PACKINGLIST!A:H,5,0)</f>
        <v>240</v>
      </c>
      <c r="F101" s="35">
        <f>VLOOKUP(A101,PACKINGLIST!A:H,6,0)</f>
        <v>240</v>
      </c>
      <c r="G101" s="35" t="str">
        <f>VLOOKUP(A101,PACKINGLIST!A:H,7,0)</f>
        <v>PCS</v>
      </c>
      <c r="H101" s="36">
        <v>0.1787</v>
      </c>
      <c r="I101" s="37">
        <f t="shared" si="11"/>
        <v>42.888</v>
      </c>
      <c r="J101" s="38">
        <f t="shared" si="12"/>
        <v>0</v>
      </c>
      <c r="K101" s="39"/>
      <c r="L101" s="3">
        <f t="shared" si="13"/>
        <v>0</v>
      </c>
      <c r="M101" s="3">
        <f t="shared" si="14"/>
        <v>0</v>
      </c>
    </row>
    <row r="102" s="3" customFormat="1" ht="14" customHeight="1" spans="1:13">
      <c r="A102" s="34">
        <f t="shared" si="16"/>
        <v>88</v>
      </c>
      <c r="B102" s="35">
        <f>VLOOKUP('USD INVOICE'!A102,PACKINGLIST!A:H,2,0)</f>
        <v>9048986</v>
      </c>
      <c r="C102" s="35" t="str">
        <f>VLOOKUP(A102,PACKINGLIST!A:I,3,0)</f>
        <v>GIFT BAG 25.4*30.5*12.7CM_GB24-1203#</v>
      </c>
      <c r="D102" s="35">
        <f>VLOOKUP(A102,PACKINGLIST!A:H,4,0)</f>
        <v>3</v>
      </c>
      <c r="E102" s="35">
        <f>VLOOKUP(A102,PACKINGLIST!A:H,5,0)</f>
        <v>120</v>
      </c>
      <c r="F102" s="35">
        <f>VLOOKUP(A102,PACKINGLIST!A:H,6,0)</f>
        <v>360</v>
      </c>
      <c r="G102" s="35" t="str">
        <f>VLOOKUP(A102,PACKINGLIST!A:H,7,0)</f>
        <v>PCS</v>
      </c>
      <c r="H102" s="36">
        <v>0.2392</v>
      </c>
      <c r="I102" s="37">
        <f t="shared" si="11"/>
        <v>86.112</v>
      </c>
      <c r="J102" s="38">
        <f t="shared" si="12"/>
        <v>0</v>
      </c>
      <c r="K102" s="39"/>
      <c r="L102" s="3">
        <f t="shared" si="13"/>
        <v>0</v>
      </c>
      <c r="M102" s="3">
        <f t="shared" si="14"/>
        <v>0</v>
      </c>
    </row>
    <row r="103" s="3" customFormat="1" ht="14" customHeight="1" spans="1:13">
      <c r="A103" s="34">
        <f t="shared" si="16"/>
        <v>89</v>
      </c>
      <c r="B103" s="35">
        <f>VLOOKUP('USD INVOICE'!A103,PACKINGLIST!A:H,2,0)</f>
        <v>9048987</v>
      </c>
      <c r="C103" s="35" t="str">
        <f>VLOOKUP(A103,PACKINGLIST!A:I,3,0)</f>
        <v>GIFT BAG 18*23*10CM_GB24-1202#</v>
      </c>
      <c r="D103" s="35">
        <f>VLOOKUP(A103,PACKINGLIST!A:H,4,0)</f>
        <v>1</v>
      </c>
      <c r="E103" s="35">
        <f>VLOOKUP(A103,PACKINGLIST!A:H,5,0)</f>
        <v>240</v>
      </c>
      <c r="F103" s="35">
        <f>VLOOKUP(A103,PACKINGLIST!A:H,6,0)</f>
        <v>240</v>
      </c>
      <c r="G103" s="35" t="str">
        <f>VLOOKUP(A103,PACKINGLIST!A:H,7,0)</f>
        <v>PCS</v>
      </c>
      <c r="H103" s="36">
        <v>0.1801</v>
      </c>
      <c r="I103" s="37">
        <f t="shared" si="11"/>
        <v>43.224</v>
      </c>
      <c r="J103" s="38">
        <f t="shared" si="12"/>
        <v>0</v>
      </c>
      <c r="K103" s="39"/>
      <c r="L103" s="3">
        <f t="shared" si="13"/>
        <v>0</v>
      </c>
      <c r="M103" s="3">
        <f t="shared" si="14"/>
        <v>0</v>
      </c>
    </row>
    <row r="104" s="3" customFormat="1" ht="14" customHeight="1" spans="1:13">
      <c r="A104" s="34">
        <f t="shared" si="16"/>
        <v>90</v>
      </c>
      <c r="B104" s="35">
        <f>VLOOKUP('USD INVOICE'!A104,PACKINGLIST!A:H,2,0)</f>
        <v>9048988</v>
      </c>
      <c r="C104" s="35" t="str">
        <f>VLOOKUP(A104,PACKINGLIST!A:I,3,0)</f>
        <v>GIFT BAG 25.4*30.5*12.7CM_GB24-1204#</v>
      </c>
      <c r="D104" s="35">
        <f>VLOOKUP(A104,PACKINGLIST!A:H,4,0)</f>
        <v>1</v>
      </c>
      <c r="E104" s="35">
        <f>VLOOKUP(A104,PACKINGLIST!A:H,5,0)</f>
        <v>120</v>
      </c>
      <c r="F104" s="35">
        <f>VLOOKUP(A104,PACKINGLIST!A:H,6,0)</f>
        <v>120</v>
      </c>
      <c r="G104" s="35" t="str">
        <f>VLOOKUP(A104,PACKINGLIST!A:H,7,0)</f>
        <v>PCS</v>
      </c>
      <c r="H104" s="36">
        <v>0.2579</v>
      </c>
      <c r="I104" s="37">
        <f t="shared" si="11"/>
        <v>30.948</v>
      </c>
      <c r="J104" s="38">
        <f t="shared" si="12"/>
        <v>0</v>
      </c>
      <c r="K104" s="39"/>
      <c r="L104" s="3">
        <f t="shared" si="13"/>
        <v>0</v>
      </c>
      <c r="M104" s="3">
        <f t="shared" si="14"/>
        <v>0</v>
      </c>
    </row>
    <row r="105" s="3" customFormat="1" ht="14" customHeight="1" spans="1:13">
      <c r="A105" s="34">
        <f t="shared" si="16"/>
        <v>91</v>
      </c>
      <c r="B105" s="35">
        <f>VLOOKUP('USD INVOICE'!A105,PACKINGLIST!A:H,2,0)</f>
        <v>9048989</v>
      </c>
      <c r="C105" s="35" t="str">
        <f>VLOOKUP(A105,PACKINGLIST!A:I,3,0)</f>
        <v>GIFT BAG 37*29.5*12CM_GB24-1205#</v>
      </c>
      <c r="D105" s="35">
        <f>VLOOKUP(A105,PACKINGLIST!A:H,4,0)</f>
        <v>1</v>
      </c>
      <c r="E105" s="35">
        <f>VLOOKUP(A105,PACKINGLIST!A:H,5,0)</f>
        <v>120</v>
      </c>
      <c r="F105" s="35">
        <f>VLOOKUP(A105,PACKINGLIST!A:H,6,0)</f>
        <v>120</v>
      </c>
      <c r="G105" s="35" t="str">
        <f>VLOOKUP(A105,PACKINGLIST!A:H,7,0)</f>
        <v>PCS</v>
      </c>
      <c r="H105" s="36">
        <v>0.2853</v>
      </c>
      <c r="I105" s="37">
        <f t="shared" si="11"/>
        <v>34.236</v>
      </c>
      <c r="J105" s="38">
        <f t="shared" si="12"/>
        <v>0</v>
      </c>
      <c r="K105" s="39"/>
      <c r="L105" s="3">
        <f t="shared" si="13"/>
        <v>0</v>
      </c>
      <c r="M105" s="3">
        <f t="shared" si="14"/>
        <v>0</v>
      </c>
    </row>
    <row r="106" s="3" customFormat="1" ht="14" customHeight="1" spans="1:13">
      <c r="A106" s="34">
        <f t="shared" ref="A106:A115" si="17">ROW()-14</f>
        <v>92</v>
      </c>
      <c r="B106" s="35">
        <f>VLOOKUP('USD INVOICE'!A106,PACKINGLIST!A:H,2,0)</f>
        <v>9048990</v>
      </c>
      <c r="C106" s="35" t="str">
        <f>VLOOKUP(A106,PACKINGLIST!A:I,3,0)</f>
        <v>GIFT BAG  31*40*12CM_GB24-1206#</v>
      </c>
      <c r="D106" s="35">
        <f>VLOOKUP(A106,PACKINGLIST!A:H,4,0)</f>
        <v>3</v>
      </c>
      <c r="E106" s="35">
        <f>VLOOKUP(A106,PACKINGLIST!A:H,5,0)</f>
        <v>120</v>
      </c>
      <c r="F106" s="35">
        <f>VLOOKUP(A106,PACKINGLIST!A:H,6,0)</f>
        <v>360</v>
      </c>
      <c r="G106" s="35" t="str">
        <f>VLOOKUP(A106,PACKINGLIST!A:H,7,0)</f>
        <v>PCS</v>
      </c>
      <c r="H106" s="36">
        <v>0.2954</v>
      </c>
      <c r="I106" s="37">
        <f t="shared" si="11"/>
        <v>106.344</v>
      </c>
      <c r="J106" s="38">
        <f t="shared" si="12"/>
        <v>0</v>
      </c>
      <c r="K106" s="39"/>
      <c r="L106" s="3">
        <f t="shared" si="13"/>
        <v>0</v>
      </c>
      <c r="M106" s="3">
        <f t="shared" si="14"/>
        <v>0</v>
      </c>
    </row>
    <row r="107" s="3" customFormat="1" ht="14" customHeight="1" spans="1:13">
      <c r="A107" s="34">
        <f t="shared" si="17"/>
        <v>93</v>
      </c>
      <c r="B107" s="35">
        <f>VLOOKUP('USD INVOICE'!A107,PACKINGLIST!A:H,2,0)</f>
        <v>8978146</v>
      </c>
      <c r="C107" s="35" t="str">
        <f>VLOOKUP(A107,PACKINGLIST!A:I,3,0)</f>
        <v>SCOURING PAD 10S #SD10-48</v>
      </c>
      <c r="D107" s="35">
        <f>VLOOKUP(A107,PACKINGLIST!A:H,4,0)</f>
        <v>2</v>
      </c>
      <c r="E107" s="35">
        <f>VLOOKUP(A107,PACKINGLIST!A:H,5,0)</f>
        <v>240</v>
      </c>
      <c r="F107" s="35">
        <f>VLOOKUP(A107,PACKINGLIST!A:H,6,0)</f>
        <v>480</v>
      </c>
      <c r="G107" s="35" t="str">
        <f>VLOOKUP(A107,PACKINGLIST!A:H,7,0)</f>
        <v>BAG</v>
      </c>
      <c r="H107" s="36">
        <v>0.0865</v>
      </c>
      <c r="I107" s="37">
        <f t="shared" si="11"/>
        <v>41.52</v>
      </c>
      <c r="J107" s="38">
        <f t="shared" si="12"/>
        <v>0</v>
      </c>
      <c r="K107" s="39"/>
      <c r="L107" s="3">
        <f t="shared" si="13"/>
        <v>0</v>
      </c>
      <c r="M107" s="3">
        <f t="shared" si="14"/>
        <v>0</v>
      </c>
    </row>
    <row r="108" s="3" customFormat="1" ht="14" customHeight="1" spans="1:13">
      <c r="A108" s="34">
        <f t="shared" si="17"/>
        <v>94</v>
      </c>
      <c r="B108" s="35">
        <f>VLOOKUP('USD INVOICE'!A108,PACKINGLIST!A:H,2,0)</f>
        <v>8950888</v>
      </c>
      <c r="C108" s="35" t="str">
        <f>VLOOKUP(A108,PACKINGLIST!A:I,3,0)</f>
        <v>WHITEBOARD MARKER PEN  4PCS C-218#</v>
      </c>
      <c r="D108" s="35">
        <f>VLOOKUP(A108,PACKINGLIST!A:H,4,0)</f>
        <v>1</v>
      </c>
      <c r="E108" s="35">
        <f>VLOOKUP(A108,PACKINGLIST!A:H,5,0)</f>
        <v>300</v>
      </c>
      <c r="F108" s="35">
        <f>VLOOKUP(A108,PACKINGLIST!A:H,6,0)</f>
        <v>300</v>
      </c>
      <c r="G108" s="35" t="str">
        <f>VLOOKUP(A108,PACKINGLIST!A:H,7,0)</f>
        <v>BAG</v>
      </c>
      <c r="H108" s="36">
        <v>0.2767</v>
      </c>
      <c r="I108" s="37">
        <f t="shared" si="11"/>
        <v>83.01</v>
      </c>
      <c r="J108" s="38">
        <f t="shared" si="12"/>
        <v>0</v>
      </c>
      <c r="K108" s="39"/>
      <c r="L108" s="3">
        <f t="shared" si="13"/>
        <v>0</v>
      </c>
      <c r="M108" s="3">
        <f t="shared" si="14"/>
        <v>0</v>
      </c>
    </row>
    <row r="109" s="3" customFormat="1" ht="14" customHeight="1" spans="1:13">
      <c r="A109" s="34">
        <f t="shared" si="17"/>
        <v>95</v>
      </c>
      <c r="B109" s="35">
        <f>VLOOKUP('USD INVOICE'!A109,PACKINGLIST!A:H,2,0)</f>
        <v>8950892</v>
      </c>
      <c r="C109" s="35" t="str">
        <f>VLOOKUP(A109,PACKINGLIST!A:I,3,0)</f>
        <v>WHITEBOARD MARKER PEN 8PCS 600-8#</v>
      </c>
      <c r="D109" s="35">
        <f>VLOOKUP(A109,PACKINGLIST!A:H,4,0)</f>
        <v>5</v>
      </c>
      <c r="E109" s="35">
        <f>VLOOKUP(A109,PACKINGLIST!A:H,5,0)</f>
        <v>270</v>
      </c>
      <c r="F109" s="35">
        <f>VLOOKUP(A109,PACKINGLIST!A:H,6,0)</f>
        <v>1350</v>
      </c>
      <c r="G109" s="35" t="str">
        <f>VLOOKUP(A109,PACKINGLIST!A:H,7,0)</f>
        <v>BAG</v>
      </c>
      <c r="H109" s="36">
        <v>0.3689</v>
      </c>
      <c r="I109" s="37">
        <f t="shared" si="11"/>
        <v>498.015</v>
      </c>
      <c r="J109" s="38">
        <f t="shared" si="12"/>
        <v>0</v>
      </c>
      <c r="K109" s="39"/>
      <c r="L109" s="3">
        <f t="shared" si="13"/>
        <v>0</v>
      </c>
      <c r="M109" s="3">
        <f t="shared" si="14"/>
        <v>0</v>
      </c>
    </row>
    <row r="110" s="3" customFormat="1" ht="14" customHeight="1" spans="1:13">
      <c r="A110" s="34">
        <f t="shared" si="17"/>
        <v>96</v>
      </c>
      <c r="B110" s="35">
        <f>VLOOKUP('USD INVOICE'!A110,PACKINGLIST!A:H,2,0)</f>
        <v>8951960</v>
      </c>
      <c r="C110" s="35" t="str">
        <f>VLOOKUP(A110,PACKINGLIST!A:I,3,0)</f>
        <v>HIGHLIGHTER 4S 106#</v>
      </c>
      <c r="D110" s="35">
        <f>VLOOKUP(A110,PACKINGLIST!A:H,4,0)</f>
        <v>2</v>
      </c>
      <c r="E110" s="35">
        <f>VLOOKUP(A110,PACKINGLIST!A:H,5,0)</f>
        <v>320</v>
      </c>
      <c r="F110" s="35">
        <f>VLOOKUP(A110,PACKINGLIST!A:H,6,0)</f>
        <v>640</v>
      </c>
      <c r="G110" s="35" t="str">
        <f>VLOOKUP(A110,PACKINGLIST!A:H,7,0)</f>
        <v>BAG</v>
      </c>
      <c r="H110" s="36">
        <v>0.268</v>
      </c>
      <c r="I110" s="37">
        <f t="shared" si="11"/>
        <v>171.52</v>
      </c>
      <c r="J110" s="38">
        <f t="shared" si="12"/>
        <v>0</v>
      </c>
      <c r="K110" s="39"/>
      <c r="L110" s="3">
        <f t="shared" si="13"/>
        <v>0</v>
      </c>
      <c r="M110" s="3">
        <f t="shared" si="14"/>
        <v>0</v>
      </c>
    </row>
    <row r="111" s="3" customFormat="1" ht="14" customHeight="1" spans="1:13">
      <c r="A111" s="34">
        <f t="shared" si="17"/>
        <v>97</v>
      </c>
      <c r="B111" s="35">
        <f>VLOOKUP('USD INVOICE'!A111,PACKINGLIST!A:H,2,0)</f>
        <v>8953341</v>
      </c>
      <c r="C111" s="35" t="str">
        <f>VLOOKUP(A111,PACKINGLIST!A:I,3,0)</f>
        <v>WHITEBOARD MARKER PEN SET_8006#</v>
      </c>
      <c r="D111" s="35">
        <f>VLOOKUP(A111,PACKINGLIST!A:H,4,0)</f>
        <v>1</v>
      </c>
      <c r="E111" s="35">
        <f>VLOOKUP(A111,PACKINGLIST!A:H,5,0)</f>
        <v>300</v>
      </c>
      <c r="F111" s="35">
        <f>VLOOKUP(A111,PACKINGLIST!A:H,6,0)</f>
        <v>300</v>
      </c>
      <c r="G111" s="35" t="str">
        <f>VLOOKUP(A111,PACKINGLIST!A:H,7,0)</f>
        <v>BAG</v>
      </c>
      <c r="H111" s="36">
        <v>0.3026</v>
      </c>
      <c r="I111" s="37">
        <f t="shared" si="11"/>
        <v>90.78</v>
      </c>
      <c r="J111" s="38">
        <f t="shared" si="12"/>
        <v>0</v>
      </c>
      <c r="K111" s="39"/>
      <c r="L111" s="3">
        <f t="shared" si="13"/>
        <v>0</v>
      </c>
      <c r="M111" s="3">
        <f t="shared" si="14"/>
        <v>0</v>
      </c>
    </row>
    <row r="112" s="3" customFormat="1" ht="14" customHeight="1" spans="1:13">
      <c r="A112" s="34">
        <f t="shared" si="17"/>
        <v>98</v>
      </c>
      <c r="B112" s="35">
        <f>VLOOKUP('USD INVOICE'!A112,PACKINGLIST!A:H,2,0)</f>
        <v>9082825</v>
      </c>
      <c r="C112" s="35" t="str">
        <f>VLOOKUP(A112,PACKINGLIST!A:I,3,0)</f>
        <v>WHITE BOARD MARKER SET 8858</v>
      </c>
      <c r="D112" s="35">
        <f>VLOOKUP(A112,PACKINGLIST!A:H,4,0)</f>
        <v>1</v>
      </c>
      <c r="E112" s="35">
        <f>VLOOKUP(A112,PACKINGLIST!A:H,5,0)</f>
        <v>240</v>
      </c>
      <c r="F112" s="35">
        <f>VLOOKUP(A112,PACKINGLIST!A:H,6,0)</f>
        <v>240</v>
      </c>
      <c r="G112" s="35" t="str">
        <f>VLOOKUP(A112,PACKINGLIST!A:H,7,0)</f>
        <v>BAG</v>
      </c>
      <c r="H112" s="36">
        <v>0.3977</v>
      </c>
      <c r="I112" s="37">
        <f t="shared" si="11"/>
        <v>95.448</v>
      </c>
      <c r="J112" s="38">
        <f t="shared" si="12"/>
        <v>0</v>
      </c>
      <c r="K112" s="39"/>
      <c r="L112" s="3">
        <f t="shared" si="13"/>
        <v>0</v>
      </c>
      <c r="M112" s="3">
        <f t="shared" si="14"/>
        <v>0</v>
      </c>
    </row>
    <row r="113" s="3" customFormat="1" ht="14" customHeight="1" spans="1:13">
      <c r="A113" s="34">
        <f t="shared" si="17"/>
        <v>99</v>
      </c>
      <c r="B113" s="35">
        <f>VLOOKUP('USD INVOICE'!A113,PACKINGLIST!A:H,2,0)</f>
        <v>8951110</v>
      </c>
      <c r="C113" s="35" t="str">
        <f>VLOOKUP(A113,PACKINGLIST!A:I,3,0)</f>
        <v>RUBBER BANDS 50TPR 100G 3MM</v>
      </c>
      <c r="D113" s="35">
        <f>VLOOKUP(A113,PACKINGLIST!A:H,4,0)</f>
        <v>3</v>
      </c>
      <c r="E113" s="35">
        <f>VLOOKUP(A113,PACKINGLIST!A:H,5,0)</f>
        <v>200</v>
      </c>
      <c r="F113" s="35">
        <f>VLOOKUP(A113,PACKINGLIST!A:H,6,0)</f>
        <v>600</v>
      </c>
      <c r="G113" s="35" t="str">
        <f>VLOOKUP(A113,PACKINGLIST!A:H,7,0)</f>
        <v>SET</v>
      </c>
      <c r="H113" s="36">
        <v>0.3184</v>
      </c>
      <c r="I113" s="37">
        <f t="shared" si="11"/>
        <v>191.04</v>
      </c>
      <c r="J113" s="38">
        <f t="shared" si="12"/>
        <v>0</v>
      </c>
      <c r="K113" s="39"/>
      <c r="L113" s="3">
        <f t="shared" si="13"/>
        <v>0</v>
      </c>
      <c r="M113" s="3">
        <f t="shared" si="14"/>
        <v>0</v>
      </c>
    </row>
    <row r="114" s="3" customFormat="1" ht="14" customHeight="1" spans="1:13">
      <c r="A114" s="34">
        <f t="shared" si="17"/>
        <v>100</v>
      </c>
      <c r="B114" s="35">
        <f>VLOOKUP('USD INVOICE'!A114,PACKINGLIST!A:H,2,0)</f>
        <v>8803489</v>
      </c>
      <c r="C114" s="35" t="str">
        <f>VLOOKUP(A114,PACKINGLIST!A:I,3,0)</f>
        <v>MIRROR TRAY DECO 22.5*22.5CM_T1053#</v>
      </c>
      <c r="D114" s="35">
        <f>VLOOKUP(A114,PACKINGLIST!A:H,4,0)</f>
        <v>2</v>
      </c>
      <c r="E114" s="35">
        <f>VLOOKUP(A114,PACKINGLIST!A:H,5,0)</f>
        <v>24</v>
      </c>
      <c r="F114" s="35">
        <f>VLOOKUP(A114,PACKINGLIST!A:H,6,0)</f>
        <v>48</v>
      </c>
      <c r="G114" s="35" t="str">
        <f>VLOOKUP(A114,PACKINGLIST!A:H,7,0)</f>
        <v>PCS</v>
      </c>
      <c r="H114" s="36">
        <v>0.5331</v>
      </c>
      <c r="I114" s="37">
        <f t="shared" si="11"/>
        <v>25.5888</v>
      </c>
      <c r="J114" s="38">
        <f t="shared" si="12"/>
        <v>0</v>
      </c>
      <c r="K114" s="39"/>
      <c r="L114" s="3">
        <f t="shared" si="13"/>
        <v>0</v>
      </c>
      <c r="M114" s="3">
        <f t="shared" si="14"/>
        <v>0</v>
      </c>
    </row>
    <row r="115" s="3" customFormat="1" ht="14" customHeight="1" spans="1:13">
      <c r="A115" s="34">
        <f t="shared" si="17"/>
        <v>101</v>
      </c>
      <c r="B115" s="35">
        <f>VLOOKUP('USD INVOICE'!A115,PACKINGLIST!A:H,2,0)</f>
        <v>9047515</v>
      </c>
      <c r="C115" s="35" t="str">
        <f>VLOOKUP(A115,PACKINGLIST!A:I,3,0)</f>
        <v>WALL SHELF PP BOARD 39.8*15 T4015#</v>
      </c>
      <c r="D115" s="35">
        <f>VLOOKUP(A115,PACKINGLIST!A:H,4,0)</f>
        <v>3</v>
      </c>
      <c r="E115" s="35">
        <f>VLOOKUP(A115,PACKINGLIST!A:H,5,0)</f>
        <v>12</v>
      </c>
      <c r="F115" s="35">
        <f>VLOOKUP(A115,PACKINGLIST!A:H,6,0)</f>
        <v>36</v>
      </c>
      <c r="G115" s="35" t="str">
        <f>VLOOKUP(A115,PACKINGLIST!A:H,7,0)</f>
        <v>PCS</v>
      </c>
      <c r="H115" s="36">
        <v>0.5187</v>
      </c>
      <c r="I115" s="37">
        <f t="shared" si="11"/>
        <v>18.6732</v>
      </c>
      <c r="J115" s="38">
        <f t="shared" si="12"/>
        <v>0</v>
      </c>
      <c r="K115" s="39"/>
      <c r="L115" s="3">
        <f t="shared" si="13"/>
        <v>0</v>
      </c>
      <c r="M115" s="3">
        <f t="shared" si="14"/>
        <v>0</v>
      </c>
    </row>
    <row r="116" s="3" customFormat="1" ht="14" customHeight="1" spans="1:13">
      <c r="A116" s="34">
        <f t="shared" ref="A116:A125" si="18">ROW()-14</f>
        <v>102</v>
      </c>
      <c r="B116" s="35">
        <f>VLOOKUP('USD INVOICE'!A116,PACKINGLIST!A:H,2,0)</f>
        <v>9047520</v>
      </c>
      <c r="C116" s="35" t="str">
        <f>VLOOKUP(A116,PACKINGLIST!A:I,3,0)</f>
        <v>PHOTO FRAME KS059# 8*10INCH</v>
      </c>
      <c r="D116" s="35">
        <f>VLOOKUP(A116,PACKINGLIST!A:H,4,0)</f>
        <v>3</v>
      </c>
      <c r="E116" s="35">
        <f>VLOOKUP(A116,PACKINGLIST!A:H,5,0)</f>
        <v>48</v>
      </c>
      <c r="F116" s="35">
        <f>VLOOKUP(A116,PACKINGLIST!A:H,6,0)</f>
        <v>144</v>
      </c>
      <c r="G116" s="35" t="str">
        <f>VLOOKUP(A116,PACKINGLIST!A:H,7,0)</f>
        <v>PCS</v>
      </c>
      <c r="H116" s="36">
        <v>0.2594</v>
      </c>
      <c r="I116" s="37">
        <f t="shared" si="11"/>
        <v>37.3536</v>
      </c>
      <c r="J116" s="38">
        <f t="shared" si="12"/>
        <v>0</v>
      </c>
      <c r="K116" s="39"/>
      <c r="L116" s="3">
        <f t="shared" si="13"/>
        <v>0</v>
      </c>
      <c r="M116" s="3">
        <f t="shared" si="14"/>
        <v>0</v>
      </c>
    </row>
    <row r="117" s="3" customFormat="1" ht="14" customHeight="1" spans="1:13">
      <c r="A117" s="34">
        <f t="shared" si="18"/>
        <v>103</v>
      </c>
      <c r="B117" s="35">
        <f>VLOOKUP('USD INVOICE'!A117,PACKINGLIST!A:H,2,0)</f>
        <v>8955024</v>
      </c>
      <c r="C117" s="35" t="str">
        <f>VLOOKUP(A117,PACKINGLIST!A:I,3,0)</f>
        <v>WOODEN CLIP SET_MZ-369#</v>
      </c>
      <c r="D117" s="35">
        <f>VLOOKUP(A117,PACKINGLIST!A:H,4,0)</f>
        <v>2</v>
      </c>
      <c r="E117" s="35">
        <f>VLOOKUP(A117,PACKINGLIST!A:H,5,0)</f>
        <v>720</v>
      </c>
      <c r="F117" s="35">
        <f>VLOOKUP(A117,PACKINGLIST!A:H,6,0)</f>
        <v>1440</v>
      </c>
      <c r="G117" s="35" t="str">
        <f>VLOOKUP(A117,PACKINGLIST!A:H,7,0)</f>
        <v>SET</v>
      </c>
      <c r="H117" s="36">
        <v>0.2133</v>
      </c>
      <c r="I117" s="37">
        <f t="shared" si="11"/>
        <v>307.152</v>
      </c>
      <c r="J117" s="38">
        <f t="shared" si="12"/>
        <v>0</v>
      </c>
      <c r="K117" s="39"/>
      <c r="L117" s="3">
        <f t="shared" si="13"/>
        <v>0</v>
      </c>
      <c r="M117" s="3">
        <f t="shared" si="14"/>
        <v>0</v>
      </c>
    </row>
    <row r="118" s="3" customFormat="1" ht="14" customHeight="1" spans="1:13">
      <c r="A118" s="34">
        <f t="shared" si="18"/>
        <v>104</v>
      </c>
      <c r="B118" s="35">
        <f>VLOOKUP('USD INVOICE'!A118,PACKINGLIST!A:H,2,0)</f>
        <v>8955025</v>
      </c>
      <c r="C118" s="35" t="str">
        <f>VLOOKUP(A118,PACKINGLIST!A:I,3,0)</f>
        <v>WOODEN CLIP SET_MZ-370#</v>
      </c>
      <c r="D118" s="35">
        <f>VLOOKUP(A118,PACKINGLIST!A:H,4,0)</f>
        <v>2</v>
      </c>
      <c r="E118" s="35">
        <f>VLOOKUP(A118,PACKINGLIST!A:H,5,0)</f>
        <v>720</v>
      </c>
      <c r="F118" s="35">
        <f>VLOOKUP(A118,PACKINGLIST!A:H,6,0)</f>
        <v>1440</v>
      </c>
      <c r="G118" s="35" t="str">
        <f>VLOOKUP(A118,PACKINGLIST!A:H,7,0)</f>
        <v>SET</v>
      </c>
      <c r="H118" s="36">
        <v>0.2133</v>
      </c>
      <c r="I118" s="37">
        <f t="shared" si="11"/>
        <v>307.152</v>
      </c>
      <c r="J118" s="38">
        <f t="shared" si="12"/>
        <v>0</v>
      </c>
      <c r="K118" s="39"/>
      <c r="L118" s="3">
        <f t="shared" si="13"/>
        <v>0</v>
      </c>
      <c r="M118" s="3">
        <f t="shared" si="14"/>
        <v>0</v>
      </c>
    </row>
    <row r="119" s="3" customFormat="1" ht="14" customHeight="1" spans="1:13">
      <c r="A119" s="34">
        <f t="shared" si="18"/>
        <v>105</v>
      </c>
      <c r="B119" s="35">
        <f>VLOOKUP('USD INVOICE'!A119,PACKINGLIST!A:H,2,0)</f>
        <v>9088071</v>
      </c>
      <c r="C119" s="35" t="str">
        <f>VLOOKUP(A119,PACKINGLIST!A:I,3,0)</f>
        <v>WOOD CLIP-36PCS</v>
      </c>
      <c r="D119" s="35">
        <f>VLOOKUP(A119,PACKINGLIST!A:H,4,0)</f>
        <v>2</v>
      </c>
      <c r="E119" s="35">
        <f>VLOOKUP(A119,PACKINGLIST!A:H,5,0)</f>
        <v>360</v>
      </c>
      <c r="F119" s="35">
        <f>VLOOKUP(A119,PACKINGLIST!A:H,6,0)</f>
        <v>720</v>
      </c>
      <c r="G119" s="35" t="str">
        <f>VLOOKUP(A119,PACKINGLIST!A:H,7,0)</f>
        <v>SET</v>
      </c>
      <c r="H119" s="36">
        <v>0.317</v>
      </c>
      <c r="I119" s="37">
        <f t="shared" si="11"/>
        <v>228.24</v>
      </c>
      <c r="J119" s="38">
        <f t="shared" si="12"/>
        <v>0</v>
      </c>
      <c r="K119" s="39"/>
      <c r="L119" s="3">
        <f t="shared" si="13"/>
        <v>0</v>
      </c>
      <c r="M119" s="3">
        <f t="shared" si="14"/>
        <v>0</v>
      </c>
    </row>
    <row r="120" s="3" customFormat="1" ht="14" customHeight="1" spans="1:13">
      <c r="A120" s="34">
        <f t="shared" si="18"/>
        <v>106</v>
      </c>
      <c r="B120" s="35">
        <f>VLOOKUP('USD INVOICE'!A120,PACKINGLIST!A:H,2,0)</f>
        <v>8803435</v>
      </c>
      <c r="C120" s="35" t="str">
        <f>VLOOKUP(A120,PACKINGLIST!A:I,3,0)</f>
        <v>WHITE BOARD SET 25*35CM_HTY005#</v>
      </c>
      <c r="D120" s="35">
        <f>VLOOKUP(A120,PACKINGLIST!A:H,4,0)</f>
        <v>2</v>
      </c>
      <c r="E120" s="35">
        <f>VLOOKUP(A120,PACKINGLIST!A:H,5,0)</f>
        <v>24</v>
      </c>
      <c r="F120" s="35">
        <f>VLOOKUP(A120,PACKINGLIST!A:H,6,0)</f>
        <v>48</v>
      </c>
      <c r="G120" s="35" t="str">
        <f>VLOOKUP(A120,PACKINGLIST!A:H,7,0)</f>
        <v>PCS</v>
      </c>
      <c r="H120" s="36">
        <v>2.5937</v>
      </c>
      <c r="I120" s="37">
        <f t="shared" si="11"/>
        <v>124.4976</v>
      </c>
      <c r="J120" s="38">
        <f t="shared" si="12"/>
        <v>0</v>
      </c>
      <c r="K120" s="39"/>
      <c r="L120" s="3">
        <f t="shared" si="13"/>
        <v>0</v>
      </c>
      <c r="M120" s="3">
        <f t="shared" si="14"/>
        <v>0</v>
      </c>
    </row>
    <row r="121" s="3" customFormat="1" ht="14" customHeight="1" spans="1:13">
      <c r="A121" s="34">
        <f t="shared" si="18"/>
        <v>107</v>
      </c>
      <c r="B121" s="35">
        <f>VLOOKUP('USD INVOICE'!A121,PACKINGLIST!A:H,2,0)</f>
        <v>8803436</v>
      </c>
      <c r="C121" s="35" t="str">
        <f>VLOOKUP(A121,PACKINGLIST!A:I,3,0)</f>
        <v>WHITE BOARD SET 30*40CM_HTY006#</v>
      </c>
      <c r="D121" s="35">
        <f>VLOOKUP(A121,PACKINGLIST!A:H,4,0)</f>
        <v>2</v>
      </c>
      <c r="E121" s="35">
        <f>VLOOKUP(A121,PACKINGLIST!A:H,5,0)</f>
        <v>15</v>
      </c>
      <c r="F121" s="35">
        <f>VLOOKUP(A121,PACKINGLIST!A:H,6,0)</f>
        <v>30</v>
      </c>
      <c r="G121" s="35" t="str">
        <f>VLOOKUP(A121,PACKINGLIST!A:H,7,0)</f>
        <v>PCS</v>
      </c>
      <c r="H121" s="36">
        <v>2.8818</v>
      </c>
      <c r="I121" s="37">
        <f t="shared" si="11"/>
        <v>86.454</v>
      </c>
      <c r="J121" s="38">
        <f t="shared" si="12"/>
        <v>0</v>
      </c>
      <c r="K121" s="39"/>
      <c r="L121" s="3">
        <f t="shared" si="13"/>
        <v>0</v>
      </c>
      <c r="M121" s="3">
        <f t="shared" si="14"/>
        <v>0</v>
      </c>
    </row>
    <row r="122" s="3" customFormat="1" ht="14" customHeight="1" spans="1:13">
      <c r="A122" s="34">
        <f t="shared" si="18"/>
        <v>108</v>
      </c>
      <c r="B122" s="35">
        <f>VLOOKUP('USD INVOICE'!A122,PACKINGLIST!A:H,2,0)</f>
        <v>8950656</v>
      </c>
      <c r="C122" s="35" t="str">
        <f>VLOOKUP(A122,PACKINGLIST!A:I,3,0)</f>
        <v>DAILY PLANNER WHITEBOARD 45*60CM*VS</v>
      </c>
      <c r="D122" s="35">
        <f>VLOOKUP(A122,PACKINGLIST!A:H,4,0)</f>
        <v>6</v>
      </c>
      <c r="E122" s="35">
        <f>VLOOKUP(A122,PACKINGLIST!A:H,5,0)</f>
        <v>12</v>
      </c>
      <c r="F122" s="35">
        <f>VLOOKUP(A122,PACKINGLIST!A:H,6,0)</f>
        <v>72</v>
      </c>
      <c r="G122" s="35" t="str">
        <f>VLOOKUP(A122,PACKINGLIST!A:H,7,0)</f>
        <v>PCS</v>
      </c>
      <c r="H122" s="36">
        <v>2.7089</v>
      </c>
      <c r="I122" s="37">
        <f t="shared" si="11"/>
        <v>195.0408</v>
      </c>
      <c r="J122" s="38">
        <f t="shared" si="12"/>
        <v>0</v>
      </c>
      <c r="K122" s="39"/>
      <c r="L122" s="3">
        <f t="shared" si="13"/>
        <v>0</v>
      </c>
      <c r="M122" s="3">
        <f t="shared" si="14"/>
        <v>0</v>
      </c>
    </row>
    <row r="123" s="3" customFormat="1" ht="14" customHeight="1" spans="1:13">
      <c r="A123" s="34">
        <f t="shared" si="18"/>
        <v>109</v>
      </c>
      <c r="B123" s="35">
        <f>VLOOKUP('USD INVOICE'!A123,PACKINGLIST!A:H,2,0)</f>
        <v>8953175</v>
      </c>
      <c r="C123" s="35" t="str">
        <f>VLOOKUP(A123,PACKINGLIST!A:I,3,0)</f>
        <v>WHITE &amp; BLACK BOARD25*35CM_HTY-21E03#</v>
      </c>
      <c r="D123" s="35">
        <f>VLOOKUP(A123,PACKINGLIST!A:H,4,0)</f>
        <v>7</v>
      </c>
      <c r="E123" s="35">
        <f>VLOOKUP(A123,PACKINGLIST!A:H,5,0)</f>
        <v>48</v>
      </c>
      <c r="F123" s="35">
        <f>VLOOKUP(A123,PACKINGLIST!A:H,6,0)</f>
        <v>336</v>
      </c>
      <c r="G123" s="35" t="str">
        <f>VLOOKUP(A123,PACKINGLIST!A:H,7,0)</f>
        <v>PCS</v>
      </c>
      <c r="H123" s="36">
        <v>0.6628</v>
      </c>
      <c r="I123" s="37">
        <f t="shared" si="11"/>
        <v>222.7008</v>
      </c>
      <c r="J123" s="38">
        <f t="shared" si="12"/>
        <v>0</v>
      </c>
      <c r="K123" s="39"/>
      <c r="L123" s="3">
        <f t="shared" si="13"/>
        <v>0</v>
      </c>
      <c r="M123" s="3">
        <f t="shared" si="14"/>
        <v>0</v>
      </c>
    </row>
    <row r="124" s="3" customFormat="1" ht="14" customHeight="1" spans="1:13">
      <c r="A124" s="34">
        <f t="shared" si="18"/>
        <v>110</v>
      </c>
      <c r="B124" s="35">
        <f>VLOOKUP('USD INVOICE'!A124,PACKINGLIST!A:H,2,0)</f>
        <v>8953176</v>
      </c>
      <c r="C124" s="35" t="str">
        <f>VLOOKUP(A124,PACKINGLIST!A:I,3,0)</f>
        <v>WHITE BOARD 30*40CM_HTY-21E04#</v>
      </c>
      <c r="D124" s="35">
        <f>VLOOKUP(A124,PACKINGLIST!A:H,4,0)</f>
        <v>3</v>
      </c>
      <c r="E124" s="35">
        <f>VLOOKUP(A124,PACKINGLIST!A:H,5,0)</f>
        <v>48</v>
      </c>
      <c r="F124" s="35">
        <f>VLOOKUP(A124,PACKINGLIST!A:H,6,0)</f>
        <v>144</v>
      </c>
      <c r="G124" s="35" t="str">
        <f>VLOOKUP(A124,PACKINGLIST!A:H,7,0)</f>
        <v>PCS</v>
      </c>
      <c r="H124" s="36">
        <v>0.7781</v>
      </c>
      <c r="I124" s="37">
        <f t="shared" si="11"/>
        <v>112.0464</v>
      </c>
      <c r="J124" s="38">
        <f t="shared" si="12"/>
        <v>0</v>
      </c>
      <c r="K124" s="39"/>
      <c r="L124" s="3">
        <f t="shared" si="13"/>
        <v>0</v>
      </c>
      <c r="M124" s="3">
        <f t="shared" si="14"/>
        <v>0</v>
      </c>
    </row>
    <row r="125" s="3" customFormat="1" ht="14" customHeight="1" spans="1:13">
      <c r="A125" s="34">
        <f t="shared" si="18"/>
        <v>111</v>
      </c>
      <c r="B125" s="35">
        <f>VLOOKUP('USD INVOICE'!A125,PACKINGLIST!A:H,2,0)</f>
        <v>9089405</v>
      </c>
      <c r="C125" s="35" t="str">
        <f>VLOOKUP(A125,PACKINGLIST!A:I,3,0)</f>
        <v>WHITE&amp;BLACK BOARD 35*50CM</v>
      </c>
      <c r="D125" s="35">
        <f>VLOOKUP(A125,PACKINGLIST!A:H,4,0)</f>
        <v>7</v>
      </c>
      <c r="E125" s="35">
        <f>VLOOKUP(A125,PACKINGLIST!A:H,5,0)</f>
        <v>36</v>
      </c>
      <c r="F125" s="35">
        <f>VLOOKUP(A125,PACKINGLIST!A:H,6,0)</f>
        <v>252</v>
      </c>
      <c r="G125" s="35" t="str">
        <f>VLOOKUP(A125,PACKINGLIST!A:H,7,0)</f>
        <v>PCS</v>
      </c>
      <c r="H125" s="36">
        <v>1.0519</v>
      </c>
      <c r="I125" s="37">
        <f t="shared" si="11"/>
        <v>265.0788</v>
      </c>
      <c r="J125" s="38">
        <f t="shared" si="12"/>
        <v>0</v>
      </c>
      <c r="K125" s="39"/>
      <c r="L125" s="3">
        <f t="shared" si="13"/>
        <v>0</v>
      </c>
      <c r="M125" s="3">
        <f t="shared" si="14"/>
        <v>0</v>
      </c>
    </row>
    <row r="126" s="3" customFormat="1" ht="14" customHeight="1" spans="1:13">
      <c r="A126" s="34">
        <f t="shared" ref="A126:A135" si="19">ROW()-14</f>
        <v>112</v>
      </c>
      <c r="B126" s="35">
        <f>VLOOKUP('USD INVOICE'!A126,PACKINGLIST!A:H,2,0)</f>
        <v>8802234</v>
      </c>
      <c r="C126" s="35" t="str">
        <f>VLOOKUP(A126,PACKINGLIST!A:I,3,0)</f>
        <v>MP SCREEN MAGNIFIER BT-72#</v>
      </c>
      <c r="D126" s="35">
        <f>VLOOKUP(A126,PACKINGLIST!A:H,4,0)</f>
        <v>3</v>
      </c>
      <c r="E126" s="35">
        <f>VLOOKUP(A126,PACKINGLIST!A:H,5,0)</f>
        <v>64</v>
      </c>
      <c r="F126" s="35">
        <f>VLOOKUP(A126,PACKINGLIST!A:H,6,0)</f>
        <v>192</v>
      </c>
      <c r="G126" s="35" t="str">
        <f>VLOOKUP(A126,PACKINGLIST!A:H,7,0)</f>
        <v>SET</v>
      </c>
      <c r="H126" s="36">
        <v>1.0519</v>
      </c>
      <c r="I126" s="37">
        <f t="shared" si="11"/>
        <v>201.9648</v>
      </c>
      <c r="J126" s="38">
        <f t="shared" si="12"/>
        <v>0</v>
      </c>
      <c r="K126" s="39"/>
      <c r="L126" s="3">
        <f t="shared" si="13"/>
        <v>0</v>
      </c>
      <c r="M126" s="3">
        <f t="shared" si="14"/>
        <v>0</v>
      </c>
    </row>
    <row r="127" s="3" customFormat="1" ht="14" customHeight="1" spans="1:13">
      <c r="A127" s="34">
        <f t="shared" si="19"/>
        <v>113</v>
      </c>
      <c r="B127" s="35">
        <f>VLOOKUP('USD INVOICE'!A127,PACKINGLIST!A:H,2,0)</f>
        <v>8802235</v>
      </c>
      <c r="C127" s="35" t="str">
        <f>VLOOKUP(A127,PACKINGLIST!A:I,3,0)</f>
        <v>ROTATING JEWELLERY BOX BT-79#</v>
      </c>
      <c r="D127" s="35">
        <f>VLOOKUP(A127,PACKINGLIST!A:H,4,0)</f>
        <v>1</v>
      </c>
      <c r="E127" s="35">
        <f>VLOOKUP(A127,PACKINGLIST!A:H,5,0)</f>
        <v>60</v>
      </c>
      <c r="F127" s="35">
        <f>VLOOKUP(A127,PACKINGLIST!A:H,6,0)</f>
        <v>60</v>
      </c>
      <c r="G127" s="35" t="str">
        <f>VLOOKUP(A127,PACKINGLIST!A:H,7,0)</f>
        <v>SET</v>
      </c>
      <c r="H127" s="36">
        <v>1.0951</v>
      </c>
      <c r="I127" s="37">
        <f t="shared" si="11"/>
        <v>65.706</v>
      </c>
      <c r="J127" s="38">
        <f t="shared" si="12"/>
        <v>0</v>
      </c>
      <c r="K127" s="39"/>
      <c r="L127" s="3">
        <f t="shared" si="13"/>
        <v>0</v>
      </c>
      <c r="M127" s="3">
        <f t="shared" si="14"/>
        <v>0</v>
      </c>
    </row>
    <row r="128" s="3" customFormat="1" ht="14" customHeight="1" spans="1:13">
      <c r="A128" s="34">
        <f t="shared" si="19"/>
        <v>114</v>
      </c>
      <c r="B128" s="35">
        <f>VLOOKUP('USD INVOICE'!A128,PACKINGLIST!A:H,2,0)</f>
        <v>8973072</v>
      </c>
      <c r="C128" s="35" t="str">
        <f>VLOOKUP(A128,PACKINGLIST!A:I,3,0)</f>
        <v>IVY GRIP TAPE BT-007#</v>
      </c>
      <c r="D128" s="35">
        <f>VLOOKUP(A128,PACKINGLIST!A:H,4,0)</f>
        <v>4</v>
      </c>
      <c r="E128" s="35">
        <f>VLOOKUP(A128,PACKINGLIST!A:H,5,0)</f>
        <v>120</v>
      </c>
      <c r="F128" s="35">
        <f>VLOOKUP(A128,PACKINGLIST!A:H,6,0)</f>
        <v>480</v>
      </c>
      <c r="G128" s="35" t="str">
        <f>VLOOKUP(A128,PACKINGLIST!A:H,7,0)</f>
        <v>ROLL</v>
      </c>
      <c r="H128" s="36">
        <v>0.4899</v>
      </c>
      <c r="I128" s="37">
        <f t="shared" si="11"/>
        <v>235.152</v>
      </c>
      <c r="J128" s="38">
        <f t="shared" si="12"/>
        <v>0</v>
      </c>
      <c r="K128" s="39"/>
      <c r="L128" s="3">
        <f t="shared" si="13"/>
        <v>0</v>
      </c>
      <c r="M128" s="3">
        <f t="shared" si="14"/>
        <v>0</v>
      </c>
    </row>
    <row r="129" s="3" customFormat="1" ht="14" customHeight="1" spans="1:13">
      <c r="A129" s="34">
        <f t="shared" si="19"/>
        <v>115</v>
      </c>
      <c r="B129" s="35">
        <f>VLOOKUP('USD INVOICE'!A129,PACKINGLIST!A:H,2,0)</f>
        <v>8973091</v>
      </c>
      <c r="C129" s="35" t="str">
        <f>VLOOKUP(A129,PACKINGLIST!A:I,3,0)</f>
        <v>TUMMY TRIMMER BT-050#</v>
      </c>
      <c r="D129" s="35">
        <f>VLOOKUP(A129,PACKINGLIST!A:H,4,0)</f>
        <v>1</v>
      </c>
      <c r="E129" s="35">
        <f>VLOOKUP(A129,PACKINGLIST!A:H,5,0)</f>
        <v>40</v>
      </c>
      <c r="F129" s="35">
        <f>VLOOKUP(A129,PACKINGLIST!A:H,6,0)</f>
        <v>40</v>
      </c>
      <c r="G129" s="35" t="str">
        <f>VLOOKUP(A129,PACKINGLIST!A:H,7,0)</f>
        <v>SET</v>
      </c>
      <c r="H129" s="36">
        <v>1.2536</v>
      </c>
      <c r="I129" s="37">
        <f t="shared" si="11"/>
        <v>50.144</v>
      </c>
      <c r="J129" s="38">
        <f t="shared" si="12"/>
        <v>0</v>
      </c>
      <c r="K129" s="39"/>
      <c r="L129" s="3">
        <f t="shared" si="13"/>
        <v>0</v>
      </c>
      <c r="M129" s="3">
        <f t="shared" si="14"/>
        <v>0</v>
      </c>
    </row>
    <row r="130" s="3" customFormat="1" ht="14" customHeight="1" spans="1:13">
      <c r="A130" s="34">
        <f t="shared" si="19"/>
        <v>116</v>
      </c>
      <c r="B130" s="35">
        <f>VLOOKUP('USD INVOICE'!A130,PACKINGLIST!A:H,2,0)</f>
        <v>8973115</v>
      </c>
      <c r="C130" s="35" t="str">
        <f>VLOOKUP(A130,PACKINGLIST!A:I,3,0)</f>
        <v>COSMETIC BOX BT-034#</v>
      </c>
      <c r="D130" s="35">
        <f>VLOOKUP(A130,PACKINGLIST!A:H,4,0)</f>
        <v>6</v>
      </c>
      <c r="E130" s="35">
        <f>VLOOKUP(A130,PACKINGLIST!A:H,5,0)</f>
        <v>12</v>
      </c>
      <c r="F130" s="35">
        <f>VLOOKUP(A130,PACKINGLIST!A:H,6,0)</f>
        <v>72</v>
      </c>
      <c r="G130" s="35" t="str">
        <f>VLOOKUP(A130,PACKINGLIST!A:H,7,0)</f>
        <v>SET</v>
      </c>
      <c r="H130" s="36">
        <v>3.3141</v>
      </c>
      <c r="I130" s="37">
        <f t="shared" si="11"/>
        <v>238.6152</v>
      </c>
      <c r="J130" s="38">
        <f t="shared" si="12"/>
        <v>0</v>
      </c>
      <c r="K130" s="39"/>
      <c r="L130" s="3">
        <f t="shared" si="13"/>
        <v>0</v>
      </c>
      <c r="M130" s="3">
        <f t="shared" si="14"/>
        <v>0</v>
      </c>
    </row>
    <row r="131" s="3" customFormat="1" ht="14" customHeight="1" spans="1:13">
      <c r="A131" s="34">
        <f t="shared" si="19"/>
        <v>117</v>
      </c>
      <c r="B131" s="35">
        <f>VLOOKUP('USD INVOICE'!A131,PACKINGLIST!A:H,2,0)</f>
        <v>8974528</v>
      </c>
      <c r="C131" s="35" t="str">
        <f>VLOOKUP(A131,PACKINGLIST!A:I,3,0)</f>
        <v>WALL MOUNTED  TOILET BRUSH</v>
      </c>
      <c r="D131" s="35">
        <f>VLOOKUP(A131,PACKINGLIST!A:H,4,0)</f>
        <v>9</v>
      </c>
      <c r="E131" s="35">
        <f>VLOOKUP(A131,PACKINGLIST!A:H,5,0)</f>
        <v>60</v>
      </c>
      <c r="F131" s="35">
        <f>VLOOKUP(A131,PACKINGLIST!A:H,6,0)</f>
        <v>540</v>
      </c>
      <c r="G131" s="35" t="str">
        <f>VLOOKUP(A131,PACKINGLIST!A:H,7,0)</f>
        <v>SET</v>
      </c>
      <c r="H131" s="36">
        <v>0.4539</v>
      </c>
      <c r="I131" s="37">
        <f t="shared" si="11"/>
        <v>245.106</v>
      </c>
      <c r="J131" s="38">
        <f t="shared" si="12"/>
        <v>0</v>
      </c>
      <c r="K131" s="39"/>
      <c r="L131" s="3">
        <f t="shared" si="13"/>
        <v>0</v>
      </c>
      <c r="M131" s="3">
        <f t="shared" si="14"/>
        <v>0</v>
      </c>
    </row>
    <row r="132" s="3" customFormat="1" ht="14" customHeight="1" spans="1:13">
      <c r="A132" s="34">
        <f t="shared" si="19"/>
        <v>118</v>
      </c>
      <c r="B132" s="35">
        <f>VLOOKUP('USD INVOICE'!A132,PACKINGLIST!A:H,2,0)</f>
        <v>8974750</v>
      </c>
      <c r="C132" s="35" t="str">
        <f>VLOOKUP(A132,PACKINGLIST!A:I,3,0)</f>
        <v>KITCHEN SOAP DISPENSER BT-76#</v>
      </c>
      <c r="D132" s="35">
        <f>VLOOKUP(A132,PACKINGLIST!A:H,4,0)</f>
        <v>33</v>
      </c>
      <c r="E132" s="35">
        <f>VLOOKUP(A132,PACKINGLIST!A:H,5,0)</f>
        <v>48</v>
      </c>
      <c r="F132" s="35">
        <f>VLOOKUP(A132,PACKINGLIST!A:H,6,0)</f>
        <v>1584</v>
      </c>
      <c r="G132" s="35" t="str">
        <f>VLOOKUP(A132,PACKINGLIST!A:H,7,0)</f>
        <v>PCS</v>
      </c>
      <c r="H132" s="36">
        <v>0.3429</v>
      </c>
      <c r="I132" s="37">
        <f t="shared" si="11"/>
        <v>543.1536</v>
      </c>
      <c r="J132" s="38">
        <f t="shared" si="12"/>
        <v>0</v>
      </c>
      <c r="K132" s="39"/>
      <c r="L132" s="3">
        <f t="shared" si="13"/>
        <v>0</v>
      </c>
      <c r="M132" s="3">
        <f t="shared" si="14"/>
        <v>0</v>
      </c>
    </row>
    <row r="133" s="3" customFormat="1" ht="14" customHeight="1" spans="1:13">
      <c r="A133" s="34">
        <f t="shared" si="19"/>
        <v>119</v>
      </c>
      <c r="B133" s="35">
        <f>VLOOKUP('USD INVOICE'!A133,PACKINGLIST!A:H,2,0)</f>
        <v>8974755</v>
      </c>
      <c r="C133" s="35" t="str">
        <f>VLOOKUP(A133,PACKINGLIST!A:I,3,0)</f>
        <v>RESISTANCE BANDS BT-84#</v>
      </c>
      <c r="D133" s="35">
        <f>VLOOKUP(A133,PACKINGLIST!A:H,4,0)</f>
        <v>6</v>
      </c>
      <c r="E133" s="35">
        <f>VLOOKUP(A133,PACKINGLIST!A:H,5,0)</f>
        <v>24</v>
      </c>
      <c r="F133" s="35">
        <f>VLOOKUP(A133,PACKINGLIST!A:H,6,0)</f>
        <v>144</v>
      </c>
      <c r="G133" s="35" t="str">
        <f>VLOOKUP(A133,PACKINGLIST!A:H,7,0)</f>
        <v>SET</v>
      </c>
      <c r="H133" s="36">
        <v>1.9452</v>
      </c>
      <c r="I133" s="37">
        <f t="shared" si="11"/>
        <v>280.1088</v>
      </c>
      <c r="J133" s="38">
        <f t="shared" si="12"/>
        <v>0</v>
      </c>
      <c r="K133" s="39"/>
      <c r="L133" s="3">
        <f t="shared" si="13"/>
        <v>0</v>
      </c>
      <c r="M133" s="3">
        <f t="shared" si="14"/>
        <v>0</v>
      </c>
    </row>
    <row r="134" s="3" customFormat="1" ht="14" customHeight="1" spans="1:13">
      <c r="A134" s="34">
        <f t="shared" si="19"/>
        <v>120</v>
      </c>
      <c r="B134" s="35">
        <f>VLOOKUP('USD INVOICE'!A134,PACKINGLIST!A:H,2,0)</f>
        <v>8975340</v>
      </c>
      <c r="C134" s="35" t="str">
        <f>VLOOKUP(A134,PACKINGLIST!A:I,3,0)</f>
        <v>KITCHEN ADHESIVE TAPE BT101#3.8CM*2M</v>
      </c>
      <c r="D134" s="35">
        <f>VLOOKUP(A134,PACKINGLIST!A:H,4,0)</f>
        <v>1</v>
      </c>
      <c r="E134" s="35">
        <f>VLOOKUP(A134,PACKINGLIST!A:H,5,0)</f>
        <v>120</v>
      </c>
      <c r="F134" s="35">
        <f>VLOOKUP(A134,PACKINGLIST!A:H,6,0)</f>
        <v>120</v>
      </c>
      <c r="G134" s="35" t="str">
        <f>VLOOKUP(A134,PACKINGLIST!A:H,7,0)</f>
        <v>ROLL</v>
      </c>
      <c r="H134" s="36">
        <v>0.4035</v>
      </c>
      <c r="I134" s="37">
        <f t="shared" si="11"/>
        <v>48.42</v>
      </c>
      <c r="J134" s="38">
        <f t="shared" si="12"/>
        <v>0</v>
      </c>
      <c r="K134" s="39"/>
      <c r="L134" s="3">
        <f t="shared" si="13"/>
        <v>0</v>
      </c>
      <c r="M134" s="3">
        <f t="shared" si="14"/>
        <v>0</v>
      </c>
    </row>
    <row r="135" s="3" customFormat="1" ht="14" customHeight="1" spans="1:13">
      <c r="A135" s="34">
        <f t="shared" si="19"/>
        <v>121</v>
      </c>
      <c r="B135" s="35">
        <f>VLOOKUP('USD INVOICE'!A135,PACKINGLIST!A:H,2,0)</f>
        <v>8976236</v>
      </c>
      <c r="C135" s="35" t="str">
        <f>VLOOKUP(A135,PACKINGLIST!A:I,3,0)</f>
        <v>OIL SPLASH GUARD BT-103#</v>
      </c>
      <c r="D135" s="35">
        <f>VLOOKUP(A135,PACKINGLIST!A:H,4,0)</f>
        <v>2</v>
      </c>
      <c r="E135" s="35">
        <f>VLOOKUP(A135,PACKINGLIST!A:H,5,0)</f>
        <v>80</v>
      </c>
      <c r="F135" s="35">
        <f>VLOOKUP(A135,PACKINGLIST!A:H,6,0)</f>
        <v>160</v>
      </c>
      <c r="G135" s="35" t="str">
        <f>VLOOKUP(A135,PACKINGLIST!A:H,7,0)</f>
        <v>PCS</v>
      </c>
      <c r="H135" s="36">
        <v>0.3343</v>
      </c>
      <c r="I135" s="37">
        <f t="shared" si="11"/>
        <v>53.488</v>
      </c>
      <c r="J135" s="38">
        <f t="shared" si="12"/>
        <v>0</v>
      </c>
      <c r="K135" s="39"/>
      <c r="L135" s="3">
        <f t="shared" si="13"/>
        <v>0</v>
      </c>
      <c r="M135" s="3">
        <f t="shared" si="14"/>
        <v>0</v>
      </c>
    </row>
    <row r="136" s="3" customFormat="1" ht="14" customHeight="1" spans="1:13">
      <c r="A136" s="34">
        <f t="shared" ref="A136:A145" si="20">ROW()-14</f>
        <v>122</v>
      </c>
      <c r="B136" s="35">
        <f>VLOOKUP('USD INVOICE'!A136,PACKINGLIST!A:H,2,0)</f>
        <v>8976237</v>
      </c>
      <c r="C136" s="35" t="str">
        <f>VLOOKUP(A136,PACKINGLIST!A:I,3,0)</f>
        <v>OIL SPLASH GUARD BT-102#</v>
      </c>
      <c r="D136" s="35">
        <f>VLOOKUP(A136,PACKINGLIST!A:H,4,0)</f>
        <v>4</v>
      </c>
      <c r="E136" s="35">
        <f>VLOOKUP(A136,PACKINGLIST!A:H,5,0)</f>
        <v>80</v>
      </c>
      <c r="F136" s="35">
        <f>VLOOKUP(A136,PACKINGLIST!A:H,6,0)</f>
        <v>320</v>
      </c>
      <c r="G136" s="35" t="str">
        <f>VLOOKUP(A136,PACKINGLIST!A:H,7,0)</f>
        <v>PCS</v>
      </c>
      <c r="H136" s="36">
        <v>0.5187</v>
      </c>
      <c r="I136" s="37">
        <f t="shared" si="11"/>
        <v>165.984</v>
      </c>
      <c r="J136" s="38">
        <f t="shared" si="12"/>
        <v>0</v>
      </c>
      <c r="K136" s="39"/>
      <c r="L136" s="3">
        <f t="shared" si="13"/>
        <v>0</v>
      </c>
      <c r="M136" s="3">
        <f t="shared" si="14"/>
        <v>0</v>
      </c>
    </row>
    <row r="137" s="3" customFormat="1" ht="14" customHeight="1" spans="1:13">
      <c r="A137" s="34">
        <f t="shared" si="20"/>
        <v>123</v>
      </c>
      <c r="B137" s="35">
        <f>VLOOKUP('USD INVOICE'!A137,PACKINGLIST!A:H,2,0)</f>
        <v>8976609</v>
      </c>
      <c r="C137" s="35" t="str">
        <f>VLOOKUP(A137,PACKINGLIST!A:I,3,0)</f>
        <v>SPOON REST 201#</v>
      </c>
      <c r="D137" s="35">
        <f>VLOOKUP(A137,PACKINGLIST!A:H,4,0)</f>
        <v>1</v>
      </c>
      <c r="E137" s="35">
        <f>VLOOKUP(A137,PACKINGLIST!A:H,5,0)</f>
        <v>200</v>
      </c>
      <c r="F137" s="35">
        <f>VLOOKUP(A137,PACKINGLIST!A:H,6,0)</f>
        <v>200</v>
      </c>
      <c r="G137" s="35" t="str">
        <f>VLOOKUP(A137,PACKINGLIST!A:H,7,0)</f>
        <v>SET</v>
      </c>
      <c r="H137" s="36">
        <v>0.3026</v>
      </c>
      <c r="I137" s="37">
        <f t="shared" si="11"/>
        <v>60.52</v>
      </c>
      <c r="J137" s="38">
        <f t="shared" si="12"/>
        <v>0</v>
      </c>
      <c r="K137" s="39"/>
      <c r="L137" s="3">
        <f t="shared" si="13"/>
        <v>0</v>
      </c>
      <c r="M137" s="3">
        <f t="shared" si="14"/>
        <v>0</v>
      </c>
    </row>
    <row r="138" s="3" customFormat="1" ht="14" customHeight="1" spans="1:13">
      <c r="A138" s="34">
        <f t="shared" si="20"/>
        <v>124</v>
      </c>
      <c r="B138" s="35">
        <f>VLOOKUP('USD INVOICE'!A138,PACKINGLIST!A:H,2,0)</f>
        <v>8976936</v>
      </c>
      <c r="C138" s="35" t="str">
        <f>VLOOKUP(A138,PACKINGLIST!A:I,3,0)</f>
        <v>MULTIPURPOSE STORAGE BOX WITH COVER 216#</v>
      </c>
      <c r="D138" s="35">
        <f>VLOOKUP(A138,PACKINGLIST!A:H,4,0)</f>
        <v>1</v>
      </c>
      <c r="E138" s="35">
        <f>VLOOKUP(A138,PACKINGLIST!A:H,5,0)</f>
        <v>72</v>
      </c>
      <c r="F138" s="35">
        <f>VLOOKUP(A138,PACKINGLIST!A:H,6,0)</f>
        <v>72</v>
      </c>
      <c r="G138" s="35" t="str">
        <f>VLOOKUP(A138,PACKINGLIST!A:H,7,0)</f>
        <v>SET</v>
      </c>
      <c r="H138" s="36">
        <v>0.4827</v>
      </c>
      <c r="I138" s="37">
        <f t="shared" si="11"/>
        <v>34.7544</v>
      </c>
      <c r="J138" s="38">
        <f t="shared" si="12"/>
        <v>0</v>
      </c>
      <c r="K138" s="39"/>
      <c r="L138" s="3">
        <f t="shared" si="13"/>
        <v>0</v>
      </c>
      <c r="M138" s="3">
        <f t="shared" si="14"/>
        <v>0</v>
      </c>
    </row>
    <row r="139" s="3" customFormat="1" ht="14" customHeight="1" spans="1:13">
      <c r="A139" s="34">
        <f t="shared" si="20"/>
        <v>125</v>
      </c>
      <c r="B139" s="35">
        <f>VLOOKUP('USD INVOICE'!A139,PACKINGLIST!A:H,2,0)</f>
        <v>8976941</v>
      </c>
      <c r="C139" s="35" t="str">
        <f>VLOOKUP(A139,PACKINGLIST!A:I,3,0)</f>
        <v>DRAWER DIVIDER 211#</v>
      </c>
      <c r="D139" s="35">
        <f>VLOOKUP(A139,PACKINGLIST!A:H,4,0)</f>
        <v>2</v>
      </c>
      <c r="E139" s="35">
        <f>VLOOKUP(A139,PACKINGLIST!A:H,5,0)</f>
        <v>60</v>
      </c>
      <c r="F139" s="35">
        <f>VLOOKUP(A139,PACKINGLIST!A:H,6,0)</f>
        <v>120</v>
      </c>
      <c r="G139" s="35" t="str">
        <f>VLOOKUP(A139,PACKINGLIST!A:H,7,0)</f>
        <v>SET</v>
      </c>
      <c r="H139" s="36">
        <v>0.9798</v>
      </c>
      <c r="I139" s="37">
        <f t="shared" si="11"/>
        <v>117.576</v>
      </c>
      <c r="J139" s="38">
        <f t="shared" si="12"/>
        <v>0</v>
      </c>
      <c r="K139" s="39"/>
      <c r="L139" s="3">
        <f t="shared" si="13"/>
        <v>0</v>
      </c>
      <c r="M139" s="3">
        <f t="shared" si="14"/>
        <v>0</v>
      </c>
    </row>
    <row r="140" s="3" customFormat="1" ht="14" customHeight="1" spans="1:13">
      <c r="A140" s="34">
        <f t="shared" si="20"/>
        <v>126</v>
      </c>
      <c r="B140" s="35">
        <f>VLOOKUP('USD INVOICE'!A140,PACKINGLIST!A:H,2,0)</f>
        <v>8976942</v>
      </c>
      <c r="C140" s="35" t="str">
        <f>VLOOKUP(A140,PACKINGLIST!A:I,3,0)</f>
        <v>IVY GRIP TAPE 6M 226#</v>
      </c>
      <c r="D140" s="35">
        <f>VLOOKUP(A140,PACKINGLIST!A:H,4,0)</f>
        <v>4</v>
      </c>
      <c r="E140" s="35">
        <f>VLOOKUP(A140,PACKINGLIST!A:H,5,0)</f>
        <v>60</v>
      </c>
      <c r="F140" s="35">
        <f>VLOOKUP(A140,PACKINGLIST!A:H,6,0)</f>
        <v>240</v>
      </c>
      <c r="G140" s="35" t="str">
        <f>VLOOKUP(A140,PACKINGLIST!A:H,7,0)</f>
        <v>ROLL</v>
      </c>
      <c r="H140" s="36">
        <v>0.8934</v>
      </c>
      <c r="I140" s="37">
        <f t="shared" si="11"/>
        <v>214.416</v>
      </c>
      <c r="J140" s="38">
        <f t="shared" si="12"/>
        <v>0</v>
      </c>
      <c r="K140" s="39"/>
      <c r="L140" s="3">
        <f t="shared" si="13"/>
        <v>0</v>
      </c>
      <c r="M140" s="3">
        <f t="shared" si="14"/>
        <v>0</v>
      </c>
    </row>
    <row r="141" s="3" customFormat="1" ht="14" customHeight="1" spans="1:13">
      <c r="A141" s="34">
        <f t="shared" si="20"/>
        <v>127</v>
      </c>
      <c r="B141" s="35">
        <f>VLOOKUP('USD INVOICE'!A141,PACKINGLIST!A:H,2,0)</f>
        <v>8976943</v>
      </c>
      <c r="C141" s="35" t="str">
        <f>VLOOKUP(A141,PACKINGLIST!A:I,3,0)</f>
        <v>MULTIPURPOSE FOLDING BOX 217#</v>
      </c>
      <c r="D141" s="35">
        <f>VLOOKUP(A141,PACKINGLIST!A:H,4,0)</f>
        <v>1</v>
      </c>
      <c r="E141" s="35">
        <f>VLOOKUP(A141,PACKINGLIST!A:H,5,0)</f>
        <v>60</v>
      </c>
      <c r="F141" s="35">
        <f>VLOOKUP(A141,PACKINGLIST!A:H,6,0)</f>
        <v>60</v>
      </c>
      <c r="G141" s="35" t="str">
        <f>VLOOKUP(A141,PACKINGLIST!A:H,7,0)</f>
        <v>SET</v>
      </c>
      <c r="H141" s="36">
        <v>1.1239</v>
      </c>
      <c r="I141" s="37">
        <f t="shared" si="11"/>
        <v>67.434</v>
      </c>
      <c r="J141" s="38">
        <f t="shared" si="12"/>
        <v>0</v>
      </c>
      <c r="K141" s="39"/>
      <c r="L141" s="3">
        <f t="shared" si="13"/>
        <v>0</v>
      </c>
      <c r="M141" s="3">
        <f t="shared" si="14"/>
        <v>0</v>
      </c>
    </row>
    <row r="142" s="3" customFormat="1" ht="14" customHeight="1" spans="1:13">
      <c r="A142" s="34">
        <f t="shared" si="20"/>
        <v>128</v>
      </c>
      <c r="B142" s="35">
        <f>VLOOKUP('USD INVOICE'!A142,PACKINGLIST!A:H,2,0)</f>
        <v>8976955</v>
      </c>
      <c r="C142" s="35" t="str">
        <f>VLOOKUP(A142,PACKINGLIST!A:I,3,0)</f>
        <v>HANDS FREE X-SHAPED MOP BT-268#</v>
      </c>
      <c r="D142" s="35">
        <f>VLOOKUP(A142,PACKINGLIST!A:H,4,0)</f>
        <v>1</v>
      </c>
      <c r="E142" s="35">
        <f>VLOOKUP(A142,PACKINGLIST!A:H,5,0)</f>
        <v>20</v>
      </c>
      <c r="F142" s="35">
        <f>VLOOKUP(A142,PACKINGLIST!A:H,6,0)</f>
        <v>20</v>
      </c>
      <c r="G142" s="35" t="str">
        <f>VLOOKUP(A142,PACKINGLIST!A:H,7,0)</f>
        <v>PCS</v>
      </c>
      <c r="H142" s="36">
        <v>2.1614</v>
      </c>
      <c r="I142" s="37">
        <f t="shared" si="11"/>
        <v>43.228</v>
      </c>
      <c r="J142" s="38">
        <f t="shared" si="12"/>
        <v>0</v>
      </c>
      <c r="K142" s="39"/>
      <c r="L142" s="3">
        <f t="shared" si="13"/>
        <v>0</v>
      </c>
      <c r="M142" s="3">
        <f t="shared" si="14"/>
        <v>0</v>
      </c>
    </row>
    <row r="143" s="3" customFormat="1" ht="14" customHeight="1" spans="1:13">
      <c r="A143" s="34">
        <f t="shared" si="20"/>
        <v>129</v>
      </c>
      <c r="B143" s="35">
        <f>VLOOKUP('USD INVOICE'!A143,PACKINGLIST!A:H,2,0)</f>
        <v>8977007</v>
      </c>
      <c r="C143" s="35" t="str">
        <f>VLOOKUP(A143,PACKINGLIST!A:I,3,0)</f>
        <v>FLAT MOP- WITH SPRAYER BT-251#</v>
      </c>
      <c r="D143" s="35">
        <f>VLOOKUP(A143,PACKINGLIST!A:H,4,0)</f>
        <v>11</v>
      </c>
      <c r="E143" s="35">
        <f>VLOOKUP(A143,PACKINGLIST!A:H,5,0)</f>
        <v>6</v>
      </c>
      <c r="F143" s="35">
        <f>VLOOKUP(A143,PACKINGLIST!A:H,6,0)</f>
        <v>66</v>
      </c>
      <c r="G143" s="35" t="str">
        <f>VLOOKUP(A143,PACKINGLIST!A:H,7,0)</f>
        <v>PCS</v>
      </c>
      <c r="H143" s="36">
        <v>1.8732</v>
      </c>
      <c r="I143" s="37">
        <f t="shared" si="11"/>
        <v>123.6312</v>
      </c>
      <c r="J143" s="38">
        <f t="shared" si="12"/>
        <v>0</v>
      </c>
      <c r="K143" s="39"/>
      <c r="L143" s="3">
        <f t="shared" si="13"/>
        <v>0</v>
      </c>
      <c r="M143" s="3">
        <f t="shared" si="14"/>
        <v>0</v>
      </c>
    </row>
    <row r="144" s="3" customFormat="1" ht="14" customHeight="1" spans="1:13">
      <c r="A144" s="34">
        <f t="shared" si="20"/>
        <v>130</v>
      </c>
      <c r="B144" s="35">
        <f>VLOOKUP('USD INVOICE'!A144,PACKINGLIST!A:H,2,0)</f>
        <v>8977954</v>
      </c>
      <c r="C144" s="35" t="str">
        <f>VLOOKUP(A144,PACKINGLIST!A:I,3,0)</f>
        <v>STORAGE BOX 36*8.3*10.8CM #BT-404</v>
      </c>
      <c r="D144" s="35">
        <f>VLOOKUP(A144,PACKINGLIST!A:H,4,0)</f>
        <v>1</v>
      </c>
      <c r="E144" s="35">
        <f>VLOOKUP(A144,PACKINGLIST!A:H,5,0)</f>
        <v>24</v>
      </c>
      <c r="F144" s="35">
        <f>VLOOKUP(A144,PACKINGLIST!A:H,6,0)</f>
        <v>24</v>
      </c>
      <c r="G144" s="35" t="str">
        <f>VLOOKUP(A144,PACKINGLIST!A:H,7,0)</f>
        <v>SET</v>
      </c>
      <c r="H144" s="36">
        <v>1.585</v>
      </c>
      <c r="I144" s="37">
        <f t="shared" ref="I144:I207" si="21">F144*H144</f>
        <v>38.04</v>
      </c>
      <c r="J144" s="38">
        <f t="shared" ref="J144:J207" si="22">F144*L144-F144*M144</f>
        <v>0</v>
      </c>
      <c r="K144" s="39"/>
      <c r="L144" s="3">
        <f t="shared" ref="L144:L207" si="23">K144/7.09</f>
        <v>0</v>
      </c>
      <c r="M144" s="3">
        <f t="shared" ref="M144:M207" si="24">ROUND(L144,4)</f>
        <v>0</v>
      </c>
    </row>
    <row r="145" s="3" customFormat="1" ht="14" customHeight="1" spans="1:13">
      <c r="A145" s="34">
        <f t="shared" si="20"/>
        <v>131</v>
      </c>
      <c r="B145" s="35">
        <f>VLOOKUP('USD INVOICE'!A145,PACKINGLIST!A:H,2,0)</f>
        <v>8977956</v>
      </c>
      <c r="C145" s="35" t="str">
        <f>VLOOKUP(A145,PACKINGLIST!A:I,3,0)</f>
        <v>NECK PILLOW #BT-402</v>
      </c>
      <c r="D145" s="35">
        <f>VLOOKUP(A145,PACKINGLIST!A:H,4,0)</f>
        <v>2</v>
      </c>
      <c r="E145" s="35">
        <f>VLOOKUP(A145,PACKINGLIST!A:H,5,0)</f>
        <v>60</v>
      </c>
      <c r="F145" s="35">
        <f>VLOOKUP(A145,PACKINGLIST!A:H,6,0)</f>
        <v>120</v>
      </c>
      <c r="G145" s="35" t="str">
        <f>VLOOKUP(A145,PACKINGLIST!A:H,7,0)</f>
        <v>SET</v>
      </c>
      <c r="H145" s="36">
        <v>1.7291</v>
      </c>
      <c r="I145" s="37">
        <f t="shared" si="21"/>
        <v>207.492</v>
      </c>
      <c r="J145" s="38">
        <f t="shared" si="22"/>
        <v>0</v>
      </c>
      <c r="K145" s="39"/>
      <c r="L145" s="3">
        <f t="shared" si="23"/>
        <v>0</v>
      </c>
      <c r="M145" s="3">
        <f t="shared" si="24"/>
        <v>0</v>
      </c>
    </row>
    <row r="146" s="3" customFormat="1" ht="14" customHeight="1" spans="1:13">
      <c r="A146" s="34">
        <f t="shared" ref="A146:A155" si="25">ROW()-14</f>
        <v>132</v>
      </c>
      <c r="B146" s="35">
        <f>VLOOKUP('USD INVOICE'!A146,PACKINGLIST!A:H,2,0)</f>
        <v>8978262</v>
      </c>
      <c r="C146" s="35" t="str">
        <f>VLOOKUP(A146,PACKINGLIST!A:I,3,0)</f>
        <v>CABLE ORGANIZER 3PCS #BT-399</v>
      </c>
      <c r="D146" s="35">
        <f>VLOOKUP(A146,PACKINGLIST!A:H,4,0)</f>
        <v>1</v>
      </c>
      <c r="E146" s="35">
        <f>VLOOKUP(A146,PACKINGLIST!A:H,5,0)</f>
        <v>300</v>
      </c>
      <c r="F146" s="35">
        <f>VLOOKUP(A146,PACKINGLIST!A:H,6,0)</f>
        <v>300</v>
      </c>
      <c r="G146" s="35" t="str">
        <f>VLOOKUP(A146,PACKINGLIST!A:H,7,0)</f>
        <v>SET</v>
      </c>
      <c r="H146" s="36">
        <v>0.2233</v>
      </c>
      <c r="I146" s="37">
        <f t="shared" si="21"/>
        <v>66.99</v>
      </c>
      <c r="J146" s="38">
        <f t="shared" si="22"/>
        <v>0</v>
      </c>
      <c r="K146" s="39"/>
      <c r="L146" s="3">
        <f t="shared" si="23"/>
        <v>0</v>
      </c>
      <c r="M146" s="3">
        <f t="shared" si="24"/>
        <v>0</v>
      </c>
    </row>
    <row r="147" s="3" customFormat="1" ht="14" customHeight="1" spans="1:13">
      <c r="A147" s="34">
        <f t="shared" si="25"/>
        <v>133</v>
      </c>
      <c r="B147" s="35">
        <f>VLOOKUP('USD INVOICE'!A147,PACKINGLIST!A:H,2,0)</f>
        <v>8978269</v>
      </c>
      <c r="C147" s="35" t="str">
        <f>VLOOKUP(A147,PACKINGLIST!A:I,3,0)</f>
        <v>STORAGE BOX #BT-415</v>
      </c>
      <c r="D147" s="35">
        <f>VLOOKUP(A147,PACKINGLIST!A:H,4,0)</f>
        <v>1</v>
      </c>
      <c r="E147" s="35">
        <f>VLOOKUP(A147,PACKINGLIST!A:H,5,0)</f>
        <v>150</v>
      </c>
      <c r="F147" s="35">
        <f>VLOOKUP(A147,PACKINGLIST!A:H,6,0)</f>
        <v>150</v>
      </c>
      <c r="G147" s="35" t="str">
        <f>VLOOKUP(A147,PACKINGLIST!A:H,7,0)</f>
        <v>PCS</v>
      </c>
      <c r="H147" s="36">
        <v>0.5216</v>
      </c>
      <c r="I147" s="37">
        <f t="shared" si="21"/>
        <v>78.24</v>
      </c>
      <c r="J147" s="38">
        <f t="shared" si="22"/>
        <v>0</v>
      </c>
      <c r="K147" s="39"/>
      <c r="L147" s="3">
        <f t="shared" si="23"/>
        <v>0</v>
      </c>
      <c r="M147" s="3">
        <f t="shared" si="24"/>
        <v>0</v>
      </c>
    </row>
    <row r="148" s="3" customFormat="1" ht="14" customHeight="1" spans="1:13">
      <c r="A148" s="34">
        <f t="shared" si="25"/>
        <v>134</v>
      </c>
      <c r="B148" s="35">
        <f>VLOOKUP('USD INVOICE'!A148,PACKINGLIST!A:H,2,0)</f>
        <v>8978272</v>
      </c>
      <c r="C148" s="35" t="str">
        <f>VLOOKUP(A148,PACKINGLIST!A:I,3,0)</f>
        <v>FOOT ROLLER #BT-417</v>
      </c>
      <c r="D148" s="35">
        <f>VLOOKUP(A148,PACKINGLIST!A:H,4,0)</f>
        <v>1</v>
      </c>
      <c r="E148" s="35">
        <f>VLOOKUP(A148,PACKINGLIST!A:H,5,0)</f>
        <v>48</v>
      </c>
      <c r="F148" s="35">
        <f>VLOOKUP(A148,PACKINGLIST!A:H,6,0)</f>
        <v>48</v>
      </c>
      <c r="G148" s="35" t="str">
        <f>VLOOKUP(A148,PACKINGLIST!A:H,7,0)</f>
        <v>SET</v>
      </c>
      <c r="H148" s="36">
        <v>1.3689</v>
      </c>
      <c r="I148" s="37">
        <f t="shared" si="21"/>
        <v>65.7072</v>
      </c>
      <c r="J148" s="38">
        <f t="shared" si="22"/>
        <v>0</v>
      </c>
      <c r="K148" s="39"/>
      <c r="L148" s="3">
        <f t="shared" si="23"/>
        <v>0</v>
      </c>
      <c r="M148" s="3">
        <f t="shared" si="24"/>
        <v>0</v>
      </c>
    </row>
    <row r="149" s="3" customFormat="1" ht="14" customHeight="1" spans="1:13">
      <c r="A149" s="34">
        <f t="shared" si="25"/>
        <v>135</v>
      </c>
      <c r="B149" s="35">
        <f>VLOOKUP('USD INVOICE'!A149,PACKINGLIST!A:H,2,0)</f>
        <v>9066510</v>
      </c>
      <c r="C149" s="35" t="str">
        <f>VLOOKUP(A149,PACKINGLIST!A:I,3,0)</f>
        <v>MOP W/WATER SPRAYER</v>
      </c>
      <c r="D149" s="35">
        <f>VLOOKUP(A149,PACKINGLIST!A:H,4,0)</f>
        <v>10</v>
      </c>
      <c r="E149" s="35">
        <f>VLOOKUP(A149,PACKINGLIST!A:H,5,0)</f>
        <v>12</v>
      </c>
      <c r="F149" s="35">
        <f>VLOOKUP(A149,PACKINGLIST!A:H,6,0)</f>
        <v>120</v>
      </c>
      <c r="G149" s="35" t="str">
        <f>VLOOKUP(A149,PACKINGLIST!A:H,7,0)</f>
        <v>PCS</v>
      </c>
      <c r="H149" s="36">
        <v>2.8818</v>
      </c>
      <c r="I149" s="37">
        <f t="shared" si="21"/>
        <v>345.816</v>
      </c>
      <c r="J149" s="38">
        <f t="shared" si="22"/>
        <v>0</v>
      </c>
      <c r="K149" s="39"/>
      <c r="L149" s="3">
        <f t="shared" si="23"/>
        <v>0</v>
      </c>
      <c r="M149" s="3">
        <f t="shared" si="24"/>
        <v>0</v>
      </c>
    </row>
    <row r="150" s="3" customFormat="1" ht="14" customHeight="1" spans="1:13">
      <c r="A150" s="34">
        <f t="shared" si="25"/>
        <v>136</v>
      </c>
      <c r="B150" s="35">
        <f>VLOOKUP('USD INVOICE'!A150,PACKINGLIST!A:H,2,0)</f>
        <v>9067795</v>
      </c>
      <c r="C150" s="35" t="str">
        <f>VLOOKUP(A150,PACKINGLIST!A:I,3,0)</f>
        <v>INSOLES*VS</v>
      </c>
      <c r="D150" s="35">
        <f>VLOOKUP(A150,PACKINGLIST!A:H,4,0)</f>
        <v>3</v>
      </c>
      <c r="E150" s="35">
        <f>VLOOKUP(A150,PACKINGLIST!A:H,5,0)</f>
        <v>100</v>
      </c>
      <c r="F150" s="35">
        <f>VLOOKUP(A150,PACKINGLIST!A:H,6,0)</f>
        <v>300</v>
      </c>
      <c r="G150" s="35" t="str">
        <f>VLOOKUP(A150,PACKINGLIST!A:H,7,0)</f>
        <v>PAIRS</v>
      </c>
      <c r="H150" s="36">
        <v>0.317</v>
      </c>
      <c r="I150" s="37">
        <f t="shared" si="21"/>
        <v>95.1</v>
      </c>
      <c r="J150" s="38">
        <f t="shared" si="22"/>
        <v>0</v>
      </c>
      <c r="K150" s="39"/>
      <c r="L150" s="3">
        <f t="shared" si="23"/>
        <v>0</v>
      </c>
      <c r="M150" s="3">
        <f t="shared" si="24"/>
        <v>0</v>
      </c>
    </row>
    <row r="151" s="3" customFormat="1" ht="14" customHeight="1" spans="1:13">
      <c r="A151" s="34">
        <f t="shared" si="25"/>
        <v>137</v>
      </c>
      <c r="B151" s="35">
        <f>VLOOKUP('USD INVOICE'!A151,PACKINGLIST!A:H,2,0)</f>
        <v>9069195</v>
      </c>
      <c r="C151" s="35" t="str">
        <f>VLOOKUP(A151,PACKINGLIST!A:I,3,0)</f>
        <v>COSMETIC HOLDER 7686#</v>
      </c>
      <c r="D151" s="35">
        <f>VLOOKUP(A151,PACKINGLIST!A:H,4,0)</f>
        <v>4</v>
      </c>
      <c r="E151" s="35">
        <f>VLOOKUP(A151,PACKINGLIST!A:H,5,0)</f>
        <v>24</v>
      </c>
      <c r="F151" s="35">
        <f>VLOOKUP(A151,PACKINGLIST!A:H,6,0)</f>
        <v>96</v>
      </c>
      <c r="G151" s="35" t="str">
        <f>VLOOKUP(A151,PACKINGLIST!A:H,7,0)</f>
        <v>SET</v>
      </c>
      <c r="H151" s="36">
        <v>2.5937</v>
      </c>
      <c r="I151" s="37">
        <f t="shared" si="21"/>
        <v>248.9952</v>
      </c>
      <c r="J151" s="38">
        <f t="shared" si="22"/>
        <v>0</v>
      </c>
      <c r="K151" s="39"/>
      <c r="L151" s="3">
        <f t="shared" si="23"/>
        <v>0</v>
      </c>
      <c r="M151" s="3">
        <f t="shared" si="24"/>
        <v>0</v>
      </c>
    </row>
    <row r="152" s="3" customFormat="1" ht="14" customHeight="1" spans="1:13">
      <c r="A152" s="34">
        <f t="shared" si="25"/>
        <v>138</v>
      </c>
      <c r="B152" s="35">
        <f>VLOOKUP('USD INVOICE'!A152,PACKINGLIST!A:H,2,0)</f>
        <v>9069783</v>
      </c>
      <c r="C152" s="35" t="str">
        <f>VLOOKUP(A152,PACKINGLIST!A:I,3,0)</f>
        <v>FACIAL CLEANING BRUSH 4235#</v>
      </c>
      <c r="D152" s="35">
        <f>VLOOKUP(A152,PACKINGLIST!A:H,4,0)</f>
        <v>1</v>
      </c>
      <c r="E152" s="35">
        <f>VLOOKUP(A152,PACKINGLIST!A:H,5,0)</f>
        <v>200</v>
      </c>
      <c r="F152" s="35">
        <f>VLOOKUP(A152,PACKINGLIST!A:H,6,0)</f>
        <v>200</v>
      </c>
      <c r="G152" s="35" t="str">
        <f>VLOOKUP(A152,PACKINGLIST!A:H,7,0)</f>
        <v>SET</v>
      </c>
      <c r="H152" s="36">
        <v>0.6052</v>
      </c>
      <c r="I152" s="37">
        <f t="shared" si="21"/>
        <v>121.04</v>
      </c>
      <c r="J152" s="38">
        <f t="shared" si="22"/>
        <v>0</v>
      </c>
      <c r="K152" s="39"/>
      <c r="L152" s="3">
        <f t="shared" si="23"/>
        <v>0</v>
      </c>
      <c r="M152" s="3">
        <f t="shared" si="24"/>
        <v>0</v>
      </c>
    </row>
    <row r="153" s="3" customFormat="1" ht="14" customHeight="1" spans="1:13">
      <c r="A153" s="34">
        <f t="shared" si="25"/>
        <v>139</v>
      </c>
      <c r="B153" s="35">
        <f>VLOOKUP('USD INVOICE'!A153,PACKINGLIST!A:H,2,0)</f>
        <v>9069993</v>
      </c>
      <c r="C153" s="35" t="str">
        <f>VLOOKUP(A153,PACKINGLIST!A:I,3,0)</f>
        <v>COSMETIC RACK 1708#</v>
      </c>
      <c r="D153" s="35">
        <f>VLOOKUP(A153,PACKINGLIST!A:H,4,0)</f>
        <v>2</v>
      </c>
      <c r="E153" s="35">
        <f>VLOOKUP(A153,PACKINGLIST!A:H,5,0)</f>
        <v>20</v>
      </c>
      <c r="F153" s="35">
        <f>VLOOKUP(A153,PACKINGLIST!A:H,6,0)</f>
        <v>40</v>
      </c>
      <c r="G153" s="35" t="str">
        <f>VLOOKUP(A153,PACKINGLIST!A:H,7,0)</f>
        <v>SET</v>
      </c>
      <c r="H153" s="36">
        <v>2.8098</v>
      </c>
      <c r="I153" s="37">
        <f t="shared" si="21"/>
        <v>112.392</v>
      </c>
      <c r="J153" s="38">
        <f t="shared" si="22"/>
        <v>0</v>
      </c>
      <c r="K153" s="39"/>
      <c r="L153" s="3">
        <f t="shared" si="23"/>
        <v>0</v>
      </c>
      <c r="M153" s="3">
        <f t="shared" si="24"/>
        <v>0</v>
      </c>
    </row>
    <row r="154" s="3" customFormat="1" ht="14" customHeight="1" spans="1:13">
      <c r="A154" s="34">
        <f t="shared" si="25"/>
        <v>140</v>
      </c>
      <c r="B154" s="35">
        <f>VLOOKUP('USD INVOICE'!A154,PACKINGLIST!A:H,2,0)</f>
        <v>8951683</v>
      </c>
      <c r="C154" s="35" t="str">
        <f>VLOOKUP(A154,PACKINGLIST!A:I,3,0)</f>
        <v>MAGNETIC W.BOARD 25003-19U03#25.5*15.5CM</v>
      </c>
      <c r="D154" s="35">
        <f>VLOOKUP(A154,PACKINGLIST!A:H,4,0)</f>
        <v>5</v>
      </c>
      <c r="E154" s="35">
        <f>VLOOKUP(A154,PACKINGLIST!A:H,5,0)</f>
        <v>144</v>
      </c>
      <c r="F154" s="35">
        <f>VLOOKUP(A154,PACKINGLIST!A:H,6,0)</f>
        <v>720</v>
      </c>
      <c r="G154" s="35" t="str">
        <f>VLOOKUP(A154,PACKINGLIST!A:H,7,0)</f>
        <v>BAG</v>
      </c>
      <c r="H154" s="36">
        <v>0.3746</v>
      </c>
      <c r="I154" s="37">
        <f t="shared" si="21"/>
        <v>269.712</v>
      </c>
      <c r="J154" s="38">
        <f t="shared" si="22"/>
        <v>0</v>
      </c>
      <c r="K154" s="39"/>
      <c r="L154" s="3">
        <f t="shared" si="23"/>
        <v>0</v>
      </c>
      <c r="M154" s="3">
        <f t="shared" si="24"/>
        <v>0</v>
      </c>
    </row>
    <row r="155" s="3" customFormat="1" ht="14" customHeight="1" spans="1:13">
      <c r="A155" s="34">
        <f t="shared" si="25"/>
        <v>141</v>
      </c>
      <c r="B155" s="35">
        <f>VLOOKUP('USD INVOICE'!A155,PACKINGLIST!A:H,2,0)</f>
        <v>8951109</v>
      </c>
      <c r="C155" s="35" t="str">
        <f>VLOOKUP(A155,PACKINGLIST!A:I,3,0)</f>
        <v>RUBBER BANDS 30TPR 100G  3MM</v>
      </c>
      <c r="D155" s="35">
        <f>VLOOKUP(A155,PACKINGLIST!A:H,4,0)</f>
        <v>1</v>
      </c>
      <c r="E155" s="35">
        <f>VLOOKUP(A155,PACKINGLIST!A:H,5,0)</f>
        <v>200</v>
      </c>
      <c r="F155" s="35">
        <f>VLOOKUP(A155,PACKINGLIST!A:H,6,0)</f>
        <v>200</v>
      </c>
      <c r="G155" s="35" t="str">
        <f>VLOOKUP(A155,PACKINGLIST!A:H,7,0)</f>
        <v>SET</v>
      </c>
      <c r="H155" s="36">
        <v>0.3184</v>
      </c>
      <c r="I155" s="37">
        <f t="shared" si="21"/>
        <v>63.68</v>
      </c>
      <c r="J155" s="38">
        <f t="shared" si="22"/>
        <v>0</v>
      </c>
      <c r="K155" s="39"/>
      <c r="L155" s="3">
        <f t="shared" si="23"/>
        <v>0</v>
      </c>
      <c r="M155" s="3">
        <f t="shared" si="24"/>
        <v>0</v>
      </c>
    </row>
    <row r="156" s="3" customFormat="1" ht="14" customHeight="1" spans="1:13">
      <c r="A156" s="34">
        <f t="shared" ref="A156:A165" si="26">ROW()-14</f>
        <v>142</v>
      </c>
      <c r="B156" s="35">
        <f>VLOOKUP('USD INVOICE'!A156,PACKINGLIST!A:H,2,0)</f>
        <v>6002186</v>
      </c>
      <c r="C156" s="35" t="str">
        <f>VLOOKUP(A156,PACKINGLIST!A:I,3,0)</f>
        <v>GLASS CANISTER SET 1300ML #50817-2</v>
      </c>
      <c r="D156" s="35">
        <f>VLOOKUP(A156,PACKINGLIST!A:H,4,0)</f>
        <v>115</v>
      </c>
      <c r="E156" s="35">
        <f>VLOOKUP(A156,PACKINGLIST!A:H,5,0)</f>
        <v>6</v>
      </c>
      <c r="F156" s="35">
        <f>VLOOKUP(A156,PACKINGLIST!A:H,6,0)</f>
        <v>690</v>
      </c>
      <c r="G156" s="35" t="str">
        <f>VLOOKUP(A156,PACKINGLIST!A:H,7,0)</f>
        <v>SET</v>
      </c>
      <c r="H156" s="36">
        <v>1.4121</v>
      </c>
      <c r="I156" s="37">
        <f t="shared" si="21"/>
        <v>974.349</v>
      </c>
      <c r="J156" s="38">
        <f t="shared" si="22"/>
        <v>0</v>
      </c>
      <c r="K156" s="39"/>
      <c r="L156" s="3">
        <f t="shared" si="23"/>
        <v>0</v>
      </c>
      <c r="M156" s="3">
        <f t="shared" si="24"/>
        <v>0</v>
      </c>
    </row>
    <row r="157" s="3" customFormat="1" ht="14" customHeight="1" spans="1:13">
      <c r="A157" s="34">
        <f t="shared" si="26"/>
        <v>143</v>
      </c>
      <c r="B157" s="35">
        <f>VLOOKUP('USD INVOICE'!A157,PACKINGLIST!A:H,2,0)</f>
        <v>9085373</v>
      </c>
      <c r="C157" s="35" t="str">
        <f>VLOOKUP(A157,PACKINGLIST!A:I,3,0)</f>
        <v>RUBBER BAND 400*5MM</v>
      </c>
      <c r="D157" s="35">
        <f>VLOOKUP(A157,PACKINGLIST!A:H,4,0)</f>
        <v>1</v>
      </c>
      <c r="E157" s="35">
        <f>VLOOKUP(A157,PACKINGLIST!A:H,5,0)</f>
        <v>200</v>
      </c>
      <c r="F157" s="35">
        <f>VLOOKUP(A157,PACKINGLIST!A:H,6,0)</f>
        <v>200</v>
      </c>
      <c r="G157" s="35" t="str">
        <f>VLOOKUP(A157,PACKINGLIST!A:H,7,0)</f>
        <v>SET</v>
      </c>
      <c r="H157" s="36">
        <v>0.3242</v>
      </c>
      <c r="I157" s="37">
        <f t="shared" si="21"/>
        <v>64.84</v>
      </c>
      <c r="J157" s="38">
        <f t="shared" si="22"/>
        <v>0</v>
      </c>
      <c r="K157" s="39"/>
      <c r="L157" s="3">
        <f t="shared" si="23"/>
        <v>0</v>
      </c>
      <c r="M157" s="3">
        <f t="shared" si="24"/>
        <v>0</v>
      </c>
    </row>
    <row r="158" s="3" customFormat="1" ht="14" customHeight="1" spans="1:13">
      <c r="A158" s="34">
        <f t="shared" si="26"/>
        <v>144</v>
      </c>
      <c r="B158" s="35">
        <f>VLOOKUP('USD INVOICE'!A158,PACKINGLIST!A:H,2,0)</f>
        <v>9039766</v>
      </c>
      <c r="C158" s="35" t="str">
        <f>VLOOKUP(A158,PACKINGLIST!A:I,3,0)</f>
        <v>MEN BELT 3.7*120CM B-003#</v>
      </c>
      <c r="D158" s="35">
        <f>VLOOKUP(A158,PACKINGLIST!A:H,4,0)</f>
        <v>1</v>
      </c>
      <c r="E158" s="35">
        <f>VLOOKUP(A158,PACKINGLIST!A:H,5,0)</f>
        <v>120</v>
      </c>
      <c r="F158" s="35">
        <f>VLOOKUP(A158,PACKINGLIST!A:H,6,0)</f>
        <v>120</v>
      </c>
      <c r="G158" s="35" t="str">
        <f>VLOOKUP(A158,PACKINGLIST!A:H,7,0)</f>
        <v>PCS</v>
      </c>
      <c r="H158" s="36">
        <v>0.3602</v>
      </c>
      <c r="I158" s="37">
        <f t="shared" si="21"/>
        <v>43.224</v>
      </c>
      <c r="J158" s="38">
        <f t="shared" si="22"/>
        <v>0</v>
      </c>
      <c r="K158" s="39"/>
      <c r="L158" s="3">
        <f t="shared" si="23"/>
        <v>0</v>
      </c>
      <c r="M158" s="3">
        <f t="shared" si="24"/>
        <v>0</v>
      </c>
    </row>
    <row r="159" s="3" customFormat="1" ht="14" customHeight="1" spans="1:13">
      <c r="A159" s="34">
        <f t="shared" si="26"/>
        <v>145</v>
      </c>
      <c r="B159" s="35">
        <f>VLOOKUP('USD INVOICE'!A159,PACKINGLIST!A:H,2,0)</f>
        <v>9047121</v>
      </c>
      <c r="C159" s="35" t="str">
        <f>VLOOKUP(A159,PACKINGLIST!A:I,3,0)</f>
        <v>ARTIFICIAL FLOWERS 7H HJYZ782404T11#*VS</v>
      </c>
      <c r="D159" s="35">
        <f>VLOOKUP(A159,PACKINGLIST!A:H,4,0)</f>
        <v>3</v>
      </c>
      <c r="E159" s="35">
        <f>VLOOKUP(A159,PACKINGLIST!A:H,5,0)</f>
        <v>48</v>
      </c>
      <c r="F159" s="35">
        <f>VLOOKUP(A159,PACKINGLIST!A:H,6,0)</f>
        <v>144</v>
      </c>
      <c r="G159" s="35" t="str">
        <f>VLOOKUP(A159,PACKINGLIST!A:H,7,0)</f>
        <v>PCS</v>
      </c>
      <c r="H159" s="36">
        <v>1.2248</v>
      </c>
      <c r="I159" s="37">
        <f t="shared" si="21"/>
        <v>176.3712</v>
      </c>
      <c r="J159" s="38">
        <f t="shared" si="22"/>
        <v>0</v>
      </c>
      <c r="K159" s="39"/>
      <c r="L159" s="3">
        <f t="shared" si="23"/>
        <v>0</v>
      </c>
      <c r="M159" s="3">
        <f t="shared" si="24"/>
        <v>0</v>
      </c>
    </row>
    <row r="160" s="3" customFormat="1" ht="14" customHeight="1" spans="1:13">
      <c r="A160" s="34">
        <f t="shared" si="26"/>
        <v>146</v>
      </c>
      <c r="B160" s="35">
        <f>VLOOKUP('USD INVOICE'!A160,PACKINGLIST!A:H,2,0)</f>
        <v>9047122</v>
      </c>
      <c r="C160" s="35" t="str">
        <f>VLOOKUP(A160,PACKINGLIST!A:I,3,0)</f>
        <v>ARTIFICIAL FLOWERS 7H DLH782405T13#</v>
      </c>
      <c r="D160" s="35">
        <f>VLOOKUP(A160,PACKINGLIST!A:H,4,0)</f>
        <v>2</v>
      </c>
      <c r="E160" s="35">
        <f>VLOOKUP(A160,PACKINGLIST!A:H,5,0)</f>
        <v>96</v>
      </c>
      <c r="F160" s="35">
        <f>VLOOKUP(A160,PACKINGLIST!A:H,6,0)</f>
        <v>192</v>
      </c>
      <c r="G160" s="35" t="str">
        <f>VLOOKUP(A160,PACKINGLIST!A:H,7,0)</f>
        <v>PCS</v>
      </c>
      <c r="H160" s="36">
        <v>1.268</v>
      </c>
      <c r="I160" s="37">
        <f t="shared" si="21"/>
        <v>243.456</v>
      </c>
      <c r="J160" s="38">
        <f t="shared" si="22"/>
        <v>0</v>
      </c>
      <c r="K160" s="39"/>
      <c r="L160" s="3">
        <f t="shared" si="23"/>
        <v>0</v>
      </c>
      <c r="M160" s="3">
        <f t="shared" si="24"/>
        <v>0</v>
      </c>
    </row>
    <row r="161" s="3" customFormat="1" ht="14" customHeight="1" spans="1:13">
      <c r="A161" s="34">
        <f t="shared" si="26"/>
        <v>147</v>
      </c>
      <c r="B161" s="35">
        <f>VLOOKUP('USD INVOICE'!A161,PACKINGLIST!A:H,2,0)</f>
        <v>9047916</v>
      </c>
      <c r="C161" s="35" t="str">
        <f>VLOOKUP(A161,PACKINGLIST!A:I,3,0)</f>
        <v>ARTIFICIAL CARNATION 9H 46CM_KNX#</v>
      </c>
      <c r="D161" s="35">
        <f>VLOOKUP(A161,PACKINGLIST!A:H,4,0)</f>
        <v>1</v>
      </c>
      <c r="E161" s="35">
        <f>VLOOKUP(A161,PACKINGLIST!A:H,5,0)</f>
        <v>96</v>
      </c>
      <c r="F161" s="35">
        <f>VLOOKUP(A161,PACKINGLIST!A:H,6,0)</f>
        <v>96</v>
      </c>
      <c r="G161" s="35" t="str">
        <f>VLOOKUP(A161,PACKINGLIST!A:H,7,0)</f>
        <v>PCS</v>
      </c>
      <c r="H161" s="36">
        <v>1.3977</v>
      </c>
      <c r="I161" s="37">
        <f t="shared" si="21"/>
        <v>134.1792</v>
      </c>
      <c r="J161" s="38">
        <f t="shared" si="22"/>
        <v>0</v>
      </c>
      <c r="K161" s="39"/>
      <c r="L161" s="3">
        <f t="shared" si="23"/>
        <v>0</v>
      </c>
      <c r="M161" s="3">
        <f t="shared" si="24"/>
        <v>0</v>
      </c>
    </row>
    <row r="162" s="4" customFormat="1" ht="14" customHeight="1" spans="1:13">
      <c r="A162" s="40">
        <f t="shared" si="26"/>
        <v>148</v>
      </c>
      <c r="B162" s="41">
        <f>VLOOKUP('USD INVOICE'!A162,PACKINGLIST!A:H,2,0)</f>
        <v>6001503</v>
      </c>
      <c r="C162" s="41" t="str">
        <f>VLOOKUP(A162,PACKINGLIST!A:I,3,0)</f>
        <v>19CM SALAD PLATE  #HG1-FD100-S</v>
      </c>
      <c r="D162" s="41">
        <f>VLOOKUP(A162,PACKINGLIST!A:H,4,0)</f>
        <v>68</v>
      </c>
      <c r="E162" s="41">
        <f>VLOOKUP(A162,PACKINGLIST!A:H,5,0)</f>
        <v>24</v>
      </c>
      <c r="F162" s="41">
        <f>VLOOKUP(A162,PACKINGLIST!A:H,6,0)</f>
        <v>1632</v>
      </c>
      <c r="G162" s="41" t="str">
        <f>VLOOKUP(A162,PACKINGLIST!A:H,7,0)</f>
        <v>PCS</v>
      </c>
      <c r="H162" s="42">
        <v>0.67</v>
      </c>
      <c r="I162" s="43">
        <f t="shared" si="21"/>
        <v>1093.44</v>
      </c>
      <c r="J162" s="44">
        <f t="shared" si="22"/>
        <v>0</v>
      </c>
      <c r="K162" s="45"/>
      <c r="L162" s="4">
        <f t="shared" si="23"/>
        <v>0</v>
      </c>
      <c r="M162" s="4">
        <f t="shared" si="24"/>
        <v>0</v>
      </c>
    </row>
    <row r="163" s="4" customFormat="1" ht="14" customHeight="1" spans="1:13">
      <c r="A163" s="40">
        <f t="shared" si="26"/>
        <v>149</v>
      </c>
      <c r="B163" s="41">
        <f>VLOOKUP('USD INVOICE'!A163,PACKINGLIST!A:H,2,0)</f>
        <v>6001502</v>
      </c>
      <c r="C163" s="41" t="str">
        <f>VLOOKUP(A163,PACKINGLIST!A:I,3,0)</f>
        <v>27CM DINNER PLATE  #HG1-FD100-D</v>
      </c>
      <c r="D163" s="41">
        <f>VLOOKUP(A163,PACKINGLIST!A:H,4,0)</f>
        <v>36</v>
      </c>
      <c r="E163" s="41">
        <f>VLOOKUP(A163,PACKINGLIST!A:H,5,0)</f>
        <v>24</v>
      </c>
      <c r="F163" s="41">
        <f>VLOOKUP(A163,PACKINGLIST!A:H,6,0)</f>
        <v>864</v>
      </c>
      <c r="G163" s="41" t="str">
        <f>VLOOKUP(A163,PACKINGLIST!A:H,7,0)</f>
        <v>PCS</v>
      </c>
      <c r="H163" s="42">
        <v>1.1888</v>
      </c>
      <c r="I163" s="43">
        <f t="shared" si="21"/>
        <v>1027.1232</v>
      </c>
      <c r="J163" s="44">
        <f t="shared" si="22"/>
        <v>0</v>
      </c>
      <c r="K163" s="45"/>
      <c r="L163" s="4">
        <f t="shared" si="23"/>
        <v>0</v>
      </c>
      <c r="M163" s="4">
        <f t="shared" si="24"/>
        <v>0</v>
      </c>
    </row>
    <row r="164" s="3" customFormat="1" ht="14" customHeight="1" spans="1:13">
      <c r="A164" s="34">
        <f t="shared" si="26"/>
        <v>150</v>
      </c>
      <c r="B164" s="35">
        <f>VLOOKUP('USD INVOICE'!A164,PACKINGLIST!A:H,2,0)</f>
        <v>8978149</v>
      </c>
      <c r="C164" s="35" t="str">
        <f>VLOOKUP(A164,PACKINGLIST!A:I,3,0)</f>
        <v>SCOURING PAD 3S #SD3-38</v>
      </c>
      <c r="D164" s="35">
        <f>VLOOKUP(A164,PACKINGLIST!A:H,4,0)</f>
        <v>1</v>
      </c>
      <c r="E164" s="35">
        <f>VLOOKUP(A164,PACKINGLIST!A:H,5,0)</f>
        <v>288</v>
      </c>
      <c r="F164" s="35">
        <f>VLOOKUP(A164,PACKINGLIST!A:H,6,0)</f>
        <v>288</v>
      </c>
      <c r="G164" s="35" t="str">
        <f>VLOOKUP(A164,PACKINGLIST!A:H,7,0)</f>
        <v>BAG</v>
      </c>
      <c r="H164" s="36">
        <v>0.1369</v>
      </c>
      <c r="I164" s="37">
        <f t="shared" si="21"/>
        <v>39.4272</v>
      </c>
      <c r="J164" s="38">
        <f t="shared" si="22"/>
        <v>0</v>
      </c>
      <c r="K164" s="39"/>
      <c r="L164" s="3">
        <f t="shared" si="23"/>
        <v>0</v>
      </c>
      <c r="M164" s="3">
        <f t="shared" si="24"/>
        <v>0</v>
      </c>
    </row>
    <row r="165" s="3" customFormat="1" ht="14" customHeight="1" spans="1:13">
      <c r="A165" s="34">
        <f t="shared" si="26"/>
        <v>151</v>
      </c>
      <c r="B165" s="35">
        <f>VLOOKUP('USD INVOICE'!A165,PACKINGLIST!A:H,2,0)</f>
        <v>6001268</v>
      </c>
      <c r="C165" s="35" t="str">
        <f>VLOOKUP(A165,PACKINGLIST!A:I,3,0)</f>
        <v>SPIRAL PLANNER_FSGS019#</v>
      </c>
      <c r="D165" s="35">
        <f>VLOOKUP(A165,PACKINGLIST!A:H,4,0)</f>
        <v>34</v>
      </c>
      <c r="E165" s="35">
        <f>VLOOKUP(A165,PACKINGLIST!A:H,5,0)</f>
        <v>18</v>
      </c>
      <c r="F165" s="35">
        <f>VLOOKUP(A165,PACKINGLIST!A:H,6,0)</f>
        <v>612</v>
      </c>
      <c r="G165" s="35" t="str">
        <f>VLOOKUP(A165,PACKINGLIST!A:H,7,0)</f>
        <v>PCS</v>
      </c>
      <c r="H165" s="36">
        <v>0.8213</v>
      </c>
      <c r="I165" s="37">
        <f t="shared" si="21"/>
        <v>502.6356</v>
      </c>
      <c r="J165" s="38">
        <f t="shared" si="22"/>
        <v>0</v>
      </c>
      <c r="K165" s="39"/>
      <c r="L165" s="3">
        <f t="shared" si="23"/>
        <v>0</v>
      </c>
      <c r="M165" s="3">
        <f t="shared" si="24"/>
        <v>0</v>
      </c>
    </row>
    <row r="166" s="3" customFormat="1" ht="14" customHeight="1" spans="1:13">
      <c r="A166" s="34">
        <f t="shared" ref="A166:A175" si="27">ROW()-14</f>
        <v>152</v>
      </c>
      <c r="B166" s="35">
        <f>VLOOKUP('USD INVOICE'!A166,PACKINGLIST!A:H,2,0)</f>
        <v>6001239</v>
      </c>
      <c r="C166" s="35" t="str">
        <f>VLOOKUP(A166,PACKINGLIST!A:I,3,0)</f>
        <v>EVA STICKER 20PCS_FSGS061#</v>
      </c>
      <c r="D166" s="35">
        <f>VLOOKUP(A166,PACKINGLIST!A:H,4,0)</f>
        <v>4</v>
      </c>
      <c r="E166" s="35">
        <f>VLOOKUP(A166,PACKINGLIST!A:H,5,0)</f>
        <v>250</v>
      </c>
      <c r="F166" s="35">
        <f>VLOOKUP(A166,PACKINGLIST!A:H,6,0)</f>
        <v>1000</v>
      </c>
      <c r="G166" s="35" t="str">
        <f>VLOOKUP(A166,PACKINGLIST!A:H,7,0)</f>
        <v>PCS</v>
      </c>
      <c r="H166" s="36">
        <v>0.1873</v>
      </c>
      <c r="I166" s="37">
        <f t="shared" si="21"/>
        <v>187.3</v>
      </c>
      <c r="J166" s="38">
        <f t="shared" si="22"/>
        <v>0</v>
      </c>
      <c r="K166" s="39"/>
      <c r="L166" s="3">
        <f t="shared" si="23"/>
        <v>0</v>
      </c>
      <c r="M166" s="3">
        <f t="shared" si="24"/>
        <v>0</v>
      </c>
    </row>
    <row r="167" s="3" customFormat="1" ht="14" customHeight="1" spans="1:13">
      <c r="A167" s="34">
        <f t="shared" si="27"/>
        <v>153</v>
      </c>
      <c r="B167" s="35">
        <f>VLOOKUP('USD INVOICE'!A167,PACKINGLIST!A:H,2,0)</f>
        <v>8000298</v>
      </c>
      <c r="C167" s="35" t="str">
        <f>VLOOKUP(A167,PACKINGLIST!A:I,3,0)</f>
        <v>NETWORK PLIERS MULTIFUNCTIONAL SET 33225</v>
      </c>
      <c r="D167" s="35">
        <f>VLOOKUP(A167,PACKINGLIST!A:H,4,0)</f>
        <v>2</v>
      </c>
      <c r="E167" s="35">
        <f>VLOOKUP(A167,PACKINGLIST!A:H,5,0)</f>
        <v>60</v>
      </c>
      <c r="F167" s="35">
        <f>VLOOKUP(A167,PACKINGLIST!A:H,6,0)</f>
        <v>120</v>
      </c>
      <c r="G167" s="35" t="str">
        <f>VLOOKUP(A167,PACKINGLIST!A:H,7,0)</f>
        <v>SET</v>
      </c>
      <c r="H167" s="36">
        <v>1.585</v>
      </c>
      <c r="I167" s="37">
        <f t="shared" si="21"/>
        <v>190.2</v>
      </c>
      <c r="J167" s="38">
        <f t="shared" si="22"/>
        <v>0</v>
      </c>
      <c r="K167" s="39"/>
      <c r="L167" s="3">
        <f t="shared" si="23"/>
        <v>0</v>
      </c>
      <c r="M167" s="3">
        <f t="shared" si="24"/>
        <v>0</v>
      </c>
    </row>
    <row r="168" s="3" customFormat="1" ht="14" customHeight="1" spans="1:13">
      <c r="A168" s="34">
        <f t="shared" si="27"/>
        <v>154</v>
      </c>
      <c r="B168" s="35">
        <f>VLOOKUP('USD INVOICE'!A168,PACKINGLIST!A:H,2,0)</f>
        <v>8000308</v>
      </c>
      <c r="C168" s="35" t="str">
        <f>VLOOKUP(A168,PACKINGLIST!A:I,3,0)</f>
        <v>RATCHET HANDLE WRENCH 1/2" 33099</v>
      </c>
      <c r="D168" s="35">
        <f>VLOOKUP(A168,PACKINGLIST!A:H,4,0)</f>
        <v>2</v>
      </c>
      <c r="E168" s="35">
        <f>VLOOKUP(A168,PACKINGLIST!A:H,5,0)</f>
        <v>60</v>
      </c>
      <c r="F168" s="35">
        <f>VLOOKUP(A168,PACKINGLIST!A:H,6,0)</f>
        <v>120</v>
      </c>
      <c r="G168" s="35" t="str">
        <f>VLOOKUP(A168,PACKINGLIST!A:H,7,0)</f>
        <v>PCS</v>
      </c>
      <c r="H168" s="36">
        <v>1.2968</v>
      </c>
      <c r="I168" s="37">
        <f t="shared" si="21"/>
        <v>155.616</v>
      </c>
      <c r="J168" s="38">
        <f t="shared" si="22"/>
        <v>0</v>
      </c>
      <c r="K168" s="39"/>
      <c r="L168" s="3">
        <f t="shared" si="23"/>
        <v>0</v>
      </c>
      <c r="M168" s="3">
        <f t="shared" si="24"/>
        <v>0</v>
      </c>
    </row>
    <row r="169" s="3" customFormat="1" ht="14" customHeight="1" spans="1:13">
      <c r="A169" s="34">
        <f t="shared" si="27"/>
        <v>155</v>
      </c>
      <c r="B169" s="35">
        <f>VLOOKUP('USD INVOICE'!A169,PACKINGLIST!A:H,2,0)</f>
        <v>8000316</v>
      </c>
      <c r="C169" s="35" t="str">
        <f>VLOOKUP(A169,PACKINGLIST!A:I,3,0)</f>
        <v>PLIERS EYELET 150MM WILLOW NAILS 33135</v>
      </c>
      <c r="D169" s="35">
        <f>VLOOKUP(A169,PACKINGLIST!A:H,4,0)</f>
        <v>1</v>
      </c>
      <c r="E169" s="35">
        <f>VLOOKUP(A169,PACKINGLIST!A:H,5,0)</f>
        <v>120</v>
      </c>
      <c r="F169" s="35">
        <f>VLOOKUP(A169,PACKINGLIST!A:H,6,0)</f>
        <v>120</v>
      </c>
      <c r="G169" s="35" t="str">
        <f>VLOOKUP(A169,PACKINGLIST!A:H,7,0)</f>
        <v>PCS</v>
      </c>
      <c r="H169" s="36">
        <v>0.5764</v>
      </c>
      <c r="I169" s="37">
        <f t="shared" si="21"/>
        <v>69.168</v>
      </c>
      <c r="J169" s="38">
        <f t="shared" si="22"/>
        <v>0</v>
      </c>
      <c r="K169" s="39"/>
      <c r="L169" s="3">
        <f t="shared" si="23"/>
        <v>0</v>
      </c>
      <c r="M169" s="3">
        <f t="shared" si="24"/>
        <v>0</v>
      </c>
    </row>
    <row r="170" s="3" customFormat="1" ht="14" customHeight="1" spans="1:13">
      <c r="A170" s="34">
        <f t="shared" si="27"/>
        <v>156</v>
      </c>
      <c r="B170" s="35">
        <f>VLOOKUP('USD INVOICE'!A170,PACKINGLIST!A:H,2,0)</f>
        <v>8000318</v>
      </c>
      <c r="C170" s="35" t="str">
        <f>VLOOKUP(A170,PACKINGLIST!A:I,3,0)</f>
        <v>BOLT CUTTER MINI 200MM 8" 33137</v>
      </c>
      <c r="D170" s="35">
        <f>VLOOKUP(A170,PACKINGLIST!A:H,4,0)</f>
        <v>2</v>
      </c>
      <c r="E170" s="35">
        <f>VLOOKUP(A170,PACKINGLIST!A:H,5,0)</f>
        <v>72</v>
      </c>
      <c r="F170" s="35">
        <f>VLOOKUP(A170,PACKINGLIST!A:H,6,0)</f>
        <v>144</v>
      </c>
      <c r="G170" s="35" t="str">
        <f>VLOOKUP(A170,PACKINGLIST!A:H,7,0)</f>
        <v>PCS</v>
      </c>
      <c r="H170" s="36">
        <v>0.7493</v>
      </c>
      <c r="I170" s="37">
        <f t="shared" si="21"/>
        <v>107.8992</v>
      </c>
      <c r="J170" s="38">
        <f t="shared" si="22"/>
        <v>0</v>
      </c>
      <c r="K170" s="39"/>
      <c r="L170" s="3">
        <f t="shared" si="23"/>
        <v>0</v>
      </c>
      <c r="M170" s="3">
        <f t="shared" si="24"/>
        <v>0</v>
      </c>
    </row>
    <row r="171" s="3" customFormat="1" ht="14" customHeight="1" spans="1:13">
      <c r="A171" s="34">
        <f t="shared" si="27"/>
        <v>157</v>
      </c>
      <c r="B171" s="35">
        <f>VLOOKUP('USD INVOICE'!A171,PACKINGLIST!A:H,2,0)</f>
        <v>6001010</v>
      </c>
      <c r="C171" s="35" t="str">
        <f>VLOOKUP(A171,PACKINGLIST!A:I,3,0)</f>
        <v>CUTTER SET 2S 9364655</v>
      </c>
      <c r="D171" s="35">
        <f>VLOOKUP(A171,PACKINGLIST!A:H,4,0)</f>
        <v>1</v>
      </c>
      <c r="E171" s="35">
        <f>VLOOKUP(A171,PACKINGLIST!A:H,5,0)</f>
        <v>144</v>
      </c>
      <c r="F171" s="35">
        <f>VLOOKUP(A171,PACKINGLIST!A:H,6,0)</f>
        <v>144</v>
      </c>
      <c r="G171" s="35" t="str">
        <f>VLOOKUP(A171,PACKINGLIST!A:H,7,0)</f>
        <v>PCS</v>
      </c>
      <c r="H171" s="36">
        <v>0.8473</v>
      </c>
      <c r="I171" s="37">
        <f t="shared" si="21"/>
        <v>122.0112</v>
      </c>
      <c r="J171" s="38">
        <f t="shared" si="22"/>
        <v>0</v>
      </c>
      <c r="K171" s="39"/>
      <c r="L171" s="3">
        <f t="shared" si="23"/>
        <v>0</v>
      </c>
      <c r="M171" s="3">
        <f t="shared" si="24"/>
        <v>0</v>
      </c>
    </row>
    <row r="172" s="3" customFormat="1" ht="14" customHeight="1" spans="1:13">
      <c r="A172" s="34">
        <f t="shared" si="27"/>
        <v>158</v>
      </c>
      <c r="B172" s="35">
        <f>VLOOKUP('USD INVOICE'!A172,PACKINGLIST!A:H,2,0)</f>
        <v>6001022</v>
      </c>
      <c r="C172" s="35" t="str">
        <f>VLOOKUP(A172,PACKINGLIST!A:I,3,0)</f>
        <v>WIRE BRUSH SET 7' 3S 9363510</v>
      </c>
      <c r="D172" s="35">
        <f>VLOOKUP(A172,PACKINGLIST!A:H,4,0)</f>
        <v>12</v>
      </c>
      <c r="E172" s="35">
        <f>VLOOKUP(A172,PACKINGLIST!A:H,5,0)</f>
        <v>12</v>
      </c>
      <c r="F172" s="35">
        <f>VLOOKUP(A172,PACKINGLIST!A:H,6,0)</f>
        <v>144</v>
      </c>
      <c r="G172" s="35" t="str">
        <f>VLOOKUP(A172,PACKINGLIST!A:H,7,0)</f>
        <v>PCS</v>
      </c>
      <c r="H172" s="36">
        <v>0.3703</v>
      </c>
      <c r="I172" s="37">
        <f t="shared" si="21"/>
        <v>53.3232</v>
      </c>
      <c r="J172" s="38">
        <f t="shared" si="22"/>
        <v>0</v>
      </c>
      <c r="K172" s="39"/>
      <c r="L172" s="3">
        <f t="shared" si="23"/>
        <v>0</v>
      </c>
      <c r="M172" s="3">
        <f t="shared" si="24"/>
        <v>0</v>
      </c>
    </row>
    <row r="173" s="3" customFormat="1" ht="14" customHeight="1" spans="1:13">
      <c r="A173" s="34">
        <f t="shared" si="27"/>
        <v>159</v>
      </c>
      <c r="B173" s="35">
        <f>VLOOKUP('USD INVOICE'!A173,PACKINGLIST!A:H,2,0)</f>
        <v>6001039</v>
      </c>
      <c r="C173" s="35" t="str">
        <f>VLOOKUP(A173,PACKINGLIST!A:I,3,0)</f>
        <v>GLUE STICK 1.1*20CM 6PCS</v>
      </c>
      <c r="D173" s="35">
        <f>VLOOKUP(A173,PACKINGLIST!A:H,4,0)</f>
        <v>1</v>
      </c>
      <c r="E173" s="35">
        <f>VLOOKUP(A173,PACKINGLIST!A:H,5,0)</f>
        <v>288</v>
      </c>
      <c r="F173" s="35">
        <f>VLOOKUP(A173,PACKINGLIST!A:H,6,0)</f>
        <v>288</v>
      </c>
      <c r="G173" s="35" t="str">
        <f>VLOOKUP(A173,PACKINGLIST!A:H,7,0)</f>
        <v>BAG</v>
      </c>
      <c r="H173" s="36">
        <v>0.4164</v>
      </c>
      <c r="I173" s="37">
        <f t="shared" si="21"/>
        <v>119.9232</v>
      </c>
      <c r="J173" s="38">
        <f t="shared" si="22"/>
        <v>0</v>
      </c>
      <c r="K173" s="39"/>
      <c r="L173" s="3">
        <f t="shared" si="23"/>
        <v>0</v>
      </c>
      <c r="M173" s="3">
        <f t="shared" si="24"/>
        <v>0</v>
      </c>
    </row>
    <row r="174" s="3" customFormat="1" ht="14" customHeight="1" spans="1:13">
      <c r="A174" s="34">
        <f t="shared" si="27"/>
        <v>160</v>
      </c>
      <c r="B174" s="35">
        <f>VLOOKUP('USD INVOICE'!A174,PACKINGLIST!A:H,2,0)</f>
        <v>6001060</v>
      </c>
      <c r="C174" s="35" t="str">
        <f>VLOOKUP(A174,PACKINGLIST!A:I,3,0)</f>
        <v>SUPER GLUE 8G 2708644</v>
      </c>
      <c r="D174" s="35">
        <f>VLOOKUP(A174,PACKINGLIST!A:H,4,0)</f>
        <v>1</v>
      </c>
      <c r="E174" s="35">
        <f>VLOOKUP(A174,PACKINGLIST!A:H,5,0)</f>
        <v>144</v>
      </c>
      <c r="F174" s="35">
        <f>VLOOKUP(A174,PACKINGLIST!A:H,6,0)</f>
        <v>144</v>
      </c>
      <c r="G174" s="35" t="str">
        <f>VLOOKUP(A174,PACKINGLIST!A:H,7,0)</f>
        <v>BAG</v>
      </c>
      <c r="H174" s="36">
        <v>0.2349</v>
      </c>
      <c r="I174" s="37">
        <f t="shared" si="21"/>
        <v>33.8256</v>
      </c>
      <c r="J174" s="38">
        <f t="shared" si="22"/>
        <v>0</v>
      </c>
      <c r="K174" s="39"/>
      <c r="L174" s="3">
        <f t="shared" si="23"/>
        <v>0</v>
      </c>
      <c r="M174" s="3">
        <f t="shared" si="24"/>
        <v>0</v>
      </c>
    </row>
    <row r="175" s="3" customFormat="1" ht="14" customHeight="1" spans="1:13">
      <c r="A175" s="34">
        <f t="shared" si="27"/>
        <v>161</v>
      </c>
      <c r="B175" s="35">
        <f>VLOOKUP('USD INVOICE'!A175,PACKINGLIST!A:H,2,0)</f>
        <v>6001063</v>
      </c>
      <c r="C175" s="35" t="str">
        <f>VLOOKUP(A175,PACKINGLIST!A:I,3,0)</f>
        <v>COMBINATION LOCK 30MM 9367777</v>
      </c>
      <c r="D175" s="35">
        <f>VLOOKUP(A175,PACKINGLIST!A:H,4,0)</f>
        <v>5</v>
      </c>
      <c r="E175" s="35">
        <f>VLOOKUP(A175,PACKINGLIST!A:H,5,0)</f>
        <v>72</v>
      </c>
      <c r="F175" s="35">
        <f>VLOOKUP(A175,PACKINGLIST!A:H,6,0)</f>
        <v>360</v>
      </c>
      <c r="G175" s="35" t="str">
        <f>VLOOKUP(A175,PACKINGLIST!A:H,7,0)</f>
        <v>BAG</v>
      </c>
      <c r="H175" s="36">
        <v>1.8156</v>
      </c>
      <c r="I175" s="37">
        <f t="shared" si="21"/>
        <v>653.616</v>
      </c>
      <c r="J175" s="38">
        <f t="shared" si="22"/>
        <v>0</v>
      </c>
      <c r="K175" s="39"/>
      <c r="L175" s="3">
        <f t="shared" si="23"/>
        <v>0</v>
      </c>
      <c r="M175" s="3">
        <f t="shared" si="24"/>
        <v>0</v>
      </c>
    </row>
    <row r="176" s="3" customFormat="1" ht="14" customHeight="1" spans="1:13">
      <c r="A176" s="34">
        <f t="shared" ref="A176:A185" si="28">ROW()-14</f>
        <v>162</v>
      </c>
      <c r="B176" s="35">
        <f>VLOOKUP('USD INVOICE'!A176,PACKINGLIST!A:H,2,0)</f>
        <v>6001075</v>
      </c>
      <c r="C176" s="35" t="str">
        <f>VLOOKUP(A176,PACKINGLIST!A:I,3,0)</f>
        <v>PADLOCK 40MM 9367721</v>
      </c>
      <c r="D176" s="35">
        <f>VLOOKUP(A176,PACKINGLIST!A:H,4,0)</f>
        <v>3</v>
      </c>
      <c r="E176" s="35">
        <f>VLOOKUP(A176,PACKINGLIST!A:H,5,0)</f>
        <v>72</v>
      </c>
      <c r="F176" s="35">
        <f>VLOOKUP(A176,PACKINGLIST!A:H,6,0)</f>
        <v>216</v>
      </c>
      <c r="G176" s="35" t="str">
        <f>VLOOKUP(A176,PACKINGLIST!A:H,7,0)</f>
        <v>BAG</v>
      </c>
      <c r="H176" s="36">
        <v>0.719</v>
      </c>
      <c r="I176" s="37">
        <f t="shared" si="21"/>
        <v>155.304</v>
      </c>
      <c r="J176" s="38">
        <f t="shared" si="22"/>
        <v>0</v>
      </c>
      <c r="K176" s="39"/>
      <c r="L176" s="3">
        <f t="shared" si="23"/>
        <v>0</v>
      </c>
      <c r="M176" s="3">
        <f t="shared" si="24"/>
        <v>0</v>
      </c>
    </row>
    <row r="177" s="3" customFormat="1" ht="14" customHeight="1" spans="1:13">
      <c r="A177" s="34">
        <f t="shared" si="28"/>
        <v>163</v>
      </c>
      <c r="B177" s="35">
        <f>VLOOKUP('USD INVOICE'!A177,PACKINGLIST!A:H,2,0)</f>
        <v>6001078</v>
      </c>
      <c r="C177" s="35" t="str">
        <f>VLOOKUP(A177,PACKINGLIST!A:I,3,0)</f>
        <v>COATED PADLOCK 33MM 9367706</v>
      </c>
      <c r="D177" s="35">
        <f>VLOOKUP(A177,PACKINGLIST!A:H,4,0)</f>
        <v>1</v>
      </c>
      <c r="E177" s="35">
        <f>VLOOKUP(A177,PACKINGLIST!A:H,5,0)</f>
        <v>144</v>
      </c>
      <c r="F177" s="35">
        <f>VLOOKUP(A177,PACKINGLIST!A:H,6,0)</f>
        <v>144</v>
      </c>
      <c r="G177" s="35" t="str">
        <f>VLOOKUP(A177,PACKINGLIST!A:H,7,0)</f>
        <v>BAG</v>
      </c>
      <c r="H177" s="36">
        <v>0.6816</v>
      </c>
      <c r="I177" s="37">
        <f t="shared" si="21"/>
        <v>98.1504</v>
      </c>
      <c r="J177" s="38">
        <f t="shared" si="22"/>
        <v>0</v>
      </c>
      <c r="K177" s="39"/>
      <c r="L177" s="3">
        <f t="shared" si="23"/>
        <v>0</v>
      </c>
      <c r="M177" s="3">
        <f t="shared" si="24"/>
        <v>0</v>
      </c>
    </row>
    <row r="178" s="3" customFormat="1" ht="14" customHeight="1" spans="1:13">
      <c r="A178" s="34">
        <f t="shared" si="28"/>
        <v>164</v>
      </c>
      <c r="B178" s="35">
        <f>VLOOKUP('USD INVOICE'!A178,PACKINGLIST!A:H,2,0)</f>
        <v>6001095</v>
      </c>
      <c r="C178" s="35" t="str">
        <f>VLOOKUP(A178,PACKINGLIST!A:I,3,0)</f>
        <v>TAPE MEASURE 3M 2308905</v>
      </c>
      <c r="D178" s="35">
        <f>VLOOKUP(A178,PACKINGLIST!A:H,4,0)</f>
        <v>3</v>
      </c>
      <c r="E178" s="35">
        <f>VLOOKUP(A178,PACKINGLIST!A:H,5,0)</f>
        <v>120</v>
      </c>
      <c r="F178" s="35">
        <f>VLOOKUP(A178,PACKINGLIST!A:H,6,0)</f>
        <v>360</v>
      </c>
      <c r="G178" s="35" t="str">
        <f>VLOOKUP(A178,PACKINGLIST!A:H,7,0)</f>
        <v>PCS</v>
      </c>
      <c r="H178" s="36">
        <v>0.6427</v>
      </c>
      <c r="I178" s="37">
        <f t="shared" si="21"/>
        <v>231.372</v>
      </c>
      <c r="J178" s="38">
        <f t="shared" si="22"/>
        <v>0</v>
      </c>
      <c r="K178" s="39"/>
      <c r="L178" s="3">
        <f t="shared" si="23"/>
        <v>0</v>
      </c>
      <c r="M178" s="3">
        <f t="shared" si="24"/>
        <v>0</v>
      </c>
    </row>
    <row r="179" s="3" customFormat="1" ht="14" customHeight="1" spans="1:13">
      <c r="A179" s="34">
        <f t="shared" si="28"/>
        <v>165</v>
      </c>
      <c r="B179" s="35">
        <f>VLOOKUP('USD INVOICE'!A179,PACKINGLIST!A:H,2,0)</f>
        <v>6001104</v>
      </c>
      <c r="C179" s="35" t="str">
        <f>VLOOKUP(A179,PACKINGLIST!A:I,3,0)</f>
        <v>ELECTRICIAN'S SCISSORS 140MM 9364303</v>
      </c>
      <c r="D179" s="35">
        <f>VLOOKUP(A179,PACKINGLIST!A:H,4,0)</f>
        <v>16</v>
      </c>
      <c r="E179" s="35">
        <f>VLOOKUP(A179,PACKINGLIST!A:H,5,0)</f>
        <v>12</v>
      </c>
      <c r="F179" s="35">
        <f>VLOOKUP(A179,PACKINGLIST!A:H,6,0)</f>
        <v>192</v>
      </c>
      <c r="G179" s="35" t="str">
        <f>VLOOKUP(A179,PACKINGLIST!A:H,7,0)</f>
        <v>PCS</v>
      </c>
      <c r="H179" s="36">
        <v>0.9841</v>
      </c>
      <c r="I179" s="37">
        <f t="shared" si="21"/>
        <v>188.9472</v>
      </c>
      <c r="J179" s="38">
        <f t="shared" si="22"/>
        <v>0</v>
      </c>
      <c r="K179" s="39"/>
      <c r="L179" s="3">
        <f t="shared" si="23"/>
        <v>0</v>
      </c>
      <c r="M179" s="3">
        <f t="shared" si="24"/>
        <v>0</v>
      </c>
    </row>
    <row r="180" s="3" customFormat="1" ht="14" customHeight="1" spans="1:13">
      <c r="A180" s="34">
        <f t="shared" si="28"/>
        <v>166</v>
      </c>
      <c r="B180" s="35">
        <f>VLOOKUP('USD INVOICE'!A180,PACKINGLIST!A:H,2,0)</f>
        <v>6001107</v>
      </c>
      <c r="C180" s="35" t="str">
        <f>VLOOKUP(A180,PACKINGLIST!A:I,3,0)</f>
        <v>WIRE PLIERS 6IN 9363601</v>
      </c>
      <c r="D180" s="35">
        <f>VLOOKUP(A180,PACKINGLIST!A:H,4,0)</f>
        <v>1</v>
      </c>
      <c r="E180" s="35">
        <f>VLOOKUP(A180,PACKINGLIST!A:H,5,0)</f>
        <v>72</v>
      </c>
      <c r="F180" s="35">
        <f>VLOOKUP(A180,PACKINGLIST!A:H,6,0)</f>
        <v>72</v>
      </c>
      <c r="G180" s="35" t="str">
        <f>VLOOKUP(A180,PACKINGLIST!A:H,7,0)</f>
        <v>PCS</v>
      </c>
      <c r="H180" s="36">
        <v>1.1729</v>
      </c>
      <c r="I180" s="37">
        <f t="shared" si="21"/>
        <v>84.4488</v>
      </c>
      <c r="J180" s="38">
        <f t="shared" si="22"/>
        <v>0</v>
      </c>
      <c r="K180" s="39"/>
      <c r="L180" s="3">
        <f t="shared" si="23"/>
        <v>0</v>
      </c>
      <c r="M180" s="3">
        <f t="shared" si="24"/>
        <v>0</v>
      </c>
    </row>
    <row r="181" s="3" customFormat="1" ht="14" customHeight="1" spans="1:13">
      <c r="A181" s="34">
        <f t="shared" si="28"/>
        <v>167</v>
      </c>
      <c r="B181" s="35">
        <f>VLOOKUP('USD INVOICE'!A181,PACKINGLIST!A:H,2,0)</f>
        <v>6001123</v>
      </c>
      <c r="C181" s="35" t="str">
        <f>VLOOKUP(A181,PACKINGLIST!A:I,3,0)</f>
        <v>ADJUSTABLE ROLLER WRENCH 6IN 9363576</v>
      </c>
      <c r="D181" s="35">
        <f>VLOOKUP(A181,PACKINGLIST!A:H,4,0)</f>
        <v>1</v>
      </c>
      <c r="E181" s="35">
        <f>VLOOKUP(A181,PACKINGLIST!A:H,5,0)</f>
        <v>96</v>
      </c>
      <c r="F181" s="35">
        <f>VLOOKUP(A181,PACKINGLIST!A:H,6,0)</f>
        <v>96</v>
      </c>
      <c r="G181" s="35" t="str">
        <f>VLOOKUP(A181,PACKINGLIST!A:H,7,0)</f>
        <v>PCS</v>
      </c>
      <c r="H181" s="36">
        <v>1.0216</v>
      </c>
      <c r="I181" s="37">
        <f t="shared" si="21"/>
        <v>98.0736</v>
      </c>
      <c r="J181" s="38">
        <f t="shared" si="22"/>
        <v>0</v>
      </c>
      <c r="K181" s="39"/>
      <c r="L181" s="3">
        <f t="shared" si="23"/>
        <v>0</v>
      </c>
      <c r="M181" s="3">
        <f t="shared" si="24"/>
        <v>0</v>
      </c>
    </row>
    <row r="182" s="3" customFormat="1" ht="14" customHeight="1" spans="1:13">
      <c r="A182" s="34">
        <f t="shared" si="28"/>
        <v>168</v>
      </c>
      <c r="B182" s="35">
        <f>VLOOKUP('USD INVOICE'!A182,PACKINGLIST!A:H,2,0)</f>
        <v>6001126</v>
      </c>
      <c r="C182" s="35" t="str">
        <f>VLOOKUP(A182,PACKINGLIST!A:I,3,0)</f>
        <v>ADJUSTABLE ROLLLER WRENCH 10IN 9363578</v>
      </c>
      <c r="D182" s="35">
        <f>VLOOKUP(A182,PACKINGLIST!A:H,4,0)</f>
        <v>6</v>
      </c>
      <c r="E182" s="35">
        <f>VLOOKUP(A182,PACKINGLIST!A:H,5,0)</f>
        <v>6</v>
      </c>
      <c r="F182" s="35">
        <f>VLOOKUP(A182,PACKINGLIST!A:H,6,0)</f>
        <v>36</v>
      </c>
      <c r="G182" s="35" t="str">
        <f>VLOOKUP(A182,PACKINGLIST!A:H,7,0)</f>
        <v>PCS</v>
      </c>
      <c r="H182" s="36">
        <v>1.6945</v>
      </c>
      <c r="I182" s="37">
        <f t="shared" si="21"/>
        <v>61.002</v>
      </c>
      <c r="J182" s="38">
        <f t="shared" si="22"/>
        <v>0</v>
      </c>
      <c r="K182" s="39"/>
      <c r="L182" s="3">
        <f t="shared" si="23"/>
        <v>0</v>
      </c>
      <c r="M182" s="3">
        <f t="shared" si="24"/>
        <v>0</v>
      </c>
    </row>
    <row r="183" s="3" customFormat="1" ht="14" customHeight="1" spans="1:13">
      <c r="A183" s="34">
        <f t="shared" si="28"/>
        <v>169</v>
      </c>
      <c r="B183" s="35">
        <f>VLOOKUP('USD INVOICE'!A183,PACKINGLIST!A:H,2,0)</f>
        <v>6001131</v>
      </c>
      <c r="C183" s="35" t="str">
        <f>VLOOKUP(A183,PACKINGLIST!A:I,3,0)</f>
        <v>DIAMOND DISC 115MM</v>
      </c>
      <c r="D183" s="35">
        <f>VLOOKUP(A183,PACKINGLIST!A:H,4,0)</f>
        <v>8</v>
      </c>
      <c r="E183" s="35">
        <f>VLOOKUP(A183,PACKINGLIST!A:H,5,0)</f>
        <v>12</v>
      </c>
      <c r="F183" s="35">
        <f>VLOOKUP(A183,PACKINGLIST!A:H,6,0)</f>
        <v>96</v>
      </c>
      <c r="G183" s="35" t="str">
        <f>VLOOKUP(A183,PACKINGLIST!A:H,7,0)</f>
        <v>PCS</v>
      </c>
      <c r="H183" s="36">
        <v>0.9452</v>
      </c>
      <c r="I183" s="37">
        <f t="shared" si="21"/>
        <v>90.7392</v>
      </c>
      <c r="J183" s="38">
        <f t="shared" si="22"/>
        <v>0</v>
      </c>
      <c r="K183" s="39"/>
      <c r="L183" s="3">
        <f t="shared" si="23"/>
        <v>0</v>
      </c>
      <c r="M183" s="3">
        <f t="shared" si="24"/>
        <v>0</v>
      </c>
    </row>
    <row r="184" s="3" customFormat="1" ht="14" customHeight="1" spans="1:13">
      <c r="A184" s="34">
        <f t="shared" si="28"/>
        <v>170</v>
      </c>
      <c r="B184" s="35">
        <f>VLOOKUP('USD INVOICE'!A184,PACKINGLIST!A:H,2,0)</f>
        <v>6001149</v>
      </c>
      <c r="C184" s="35" t="str">
        <f>VLOOKUP(A184,PACKINGLIST!A:I,3,0)</f>
        <v>SUPER GLUE 2G 4S 2708642</v>
      </c>
      <c r="D184" s="35">
        <f>VLOOKUP(A184,PACKINGLIST!A:H,4,0)</f>
        <v>2</v>
      </c>
      <c r="E184" s="35">
        <f>VLOOKUP(A184,PACKINGLIST!A:H,5,0)</f>
        <v>144</v>
      </c>
      <c r="F184" s="35">
        <f>VLOOKUP(A184,PACKINGLIST!A:H,6,0)</f>
        <v>288</v>
      </c>
      <c r="G184" s="35" t="str">
        <f>VLOOKUP(A184,PACKINGLIST!A:H,7,0)</f>
        <v>BAG</v>
      </c>
      <c r="H184" s="36">
        <v>0.2795</v>
      </c>
      <c r="I184" s="37">
        <f t="shared" si="21"/>
        <v>80.496</v>
      </c>
      <c r="J184" s="38">
        <f t="shared" si="22"/>
        <v>0</v>
      </c>
      <c r="K184" s="39"/>
      <c r="L184" s="3">
        <f t="shared" si="23"/>
        <v>0</v>
      </c>
      <c r="M184" s="3">
        <f t="shared" si="24"/>
        <v>0</v>
      </c>
    </row>
    <row r="185" s="3" customFormat="1" ht="14" customHeight="1" spans="1:13">
      <c r="A185" s="34">
        <f t="shared" si="28"/>
        <v>171</v>
      </c>
      <c r="B185" s="35">
        <f>VLOOKUP('USD INVOICE'!A185,PACKINGLIST!A:H,2,0)</f>
        <v>6001155</v>
      </c>
      <c r="C185" s="35" t="str">
        <f>VLOOKUP(A185,PACKINGLIST!A:I,3,0)</f>
        <v>WALL PLUG 6MM 100S 9368170</v>
      </c>
      <c r="D185" s="35">
        <f>VLOOKUP(A185,PACKINGLIST!A:H,4,0)</f>
        <v>1</v>
      </c>
      <c r="E185" s="35">
        <f>VLOOKUP(A185,PACKINGLIST!A:H,5,0)</f>
        <v>144</v>
      </c>
      <c r="F185" s="35">
        <f>VLOOKUP(A185,PACKINGLIST!A:H,6,0)</f>
        <v>144</v>
      </c>
      <c r="G185" s="35" t="str">
        <f>VLOOKUP(A185,PACKINGLIST!A:H,7,0)</f>
        <v>BAG</v>
      </c>
      <c r="H185" s="36">
        <v>0.2046</v>
      </c>
      <c r="I185" s="37">
        <f t="shared" si="21"/>
        <v>29.4624</v>
      </c>
      <c r="J185" s="38">
        <f t="shared" si="22"/>
        <v>0</v>
      </c>
      <c r="K185" s="39"/>
      <c r="L185" s="3">
        <f t="shared" si="23"/>
        <v>0</v>
      </c>
      <c r="M185" s="3">
        <f t="shared" si="24"/>
        <v>0</v>
      </c>
    </row>
    <row r="186" s="3" customFormat="1" ht="14" customHeight="1" spans="1:13">
      <c r="A186" s="34">
        <f t="shared" ref="A186:A195" si="29">ROW()-14</f>
        <v>172</v>
      </c>
      <c r="B186" s="35">
        <f>VLOOKUP('USD INVOICE'!A186,PACKINGLIST!A:H,2,0)</f>
        <v>6001161</v>
      </c>
      <c r="C186" s="35" t="str">
        <f>VLOOKUP(A186,PACKINGLIST!A:I,3,0)</f>
        <v>PADLOCK 47MM 9367753</v>
      </c>
      <c r="D186" s="35">
        <f>VLOOKUP(A186,PACKINGLIST!A:H,4,0)</f>
        <v>2</v>
      </c>
      <c r="E186" s="35">
        <f>VLOOKUP(A186,PACKINGLIST!A:H,5,0)</f>
        <v>48</v>
      </c>
      <c r="F186" s="35">
        <f>VLOOKUP(A186,PACKINGLIST!A:H,6,0)</f>
        <v>96</v>
      </c>
      <c r="G186" s="35" t="str">
        <f>VLOOKUP(A186,PACKINGLIST!A:H,7,0)</f>
        <v>BAG</v>
      </c>
      <c r="H186" s="36">
        <v>0.9539</v>
      </c>
      <c r="I186" s="37">
        <f t="shared" si="21"/>
        <v>91.5744</v>
      </c>
      <c r="J186" s="38">
        <f t="shared" si="22"/>
        <v>0</v>
      </c>
      <c r="K186" s="39"/>
      <c r="L186" s="3">
        <f t="shared" si="23"/>
        <v>0</v>
      </c>
      <c r="M186" s="3">
        <f t="shared" si="24"/>
        <v>0</v>
      </c>
    </row>
    <row r="187" s="3" customFormat="1" ht="14" customHeight="1" spans="1:13">
      <c r="A187" s="34">
        <f t="shared" si="29"/>
        <v>173</v>
      </c>
      <c r="B187" s="35">
        <f>VLOOKUP('USD INVOICE'!A187,PACKINGLIST!A:H,2,0)</f>
        <v>6001163</v>
      </c>
      <c r="C187" s="35" t="str">
        <f>VLOOKUP(A187,PACKINGLIST!A:I,3,0)</f>
        <v>PAINT BRUSH 3PCS 9369220</v>
      </c>
      <c r="D187" s="35">
        <f>VLOOKUP(A187,PACKINGLIST!A:H,4,0)</f>
        <v>48</v>
      </c>
      <c r="E187" s="35">
        <f>VLOOKUP(A187,PACKINGLIST!A:H,5,0)</f>
        <v>12</v>
      </c>
      <c r="F187" s="35">
        <f>VLOOKUP(A187,PACKINGLIST!A:H,6,0)</f>
        <v>576</v>
      </c>
      <c r="G187" s="35" t="str">
        <f>VLOOKUP(A187,PACKINGLIST!A:H,7,0)</f>
        <v>BAG</v>
      </c>
      <c r="H187" s="36">
        <v>0.3934</v>
      </c>
      <c r="I187" s="37">
        <f t="shared" si="21"/>
        <v>226.5984</v>
      </c>
      <c r="J187" s="38">
        <f t="shared" si="22"/>
        <v>0</v>
      </c>
      <c r="K187" s="39"/>
      <c r="L187" s="3">
        <f t="shared" si="23"/>
        <v>0</v>
      </c>
      <c r="M187" s="3">
        <f t="shared" si="24"/>
        <v>0</v>
      </c>
    </row>
    <row r="188" s="3" customFormat="1" ht="14" customHeight="1" spans="1:13">
      <c r="A188" s="34">
        <f t="shared" si="29"/>
        <v>174</v>
      </c>
      <c r="B188" s="35">
        <f>VLOOKUP('USD INVOICE'!A188,PACKINGLIST!A:H,2,0)</f>
        <v>6001165</v>
      </c>
      <c r="C188" s="35" t="str">
        <f>VLOOKUP(A188,PACKINGLIST!A:I,3,0)</f>
        <v>PAINT ROLLER 9IN PO EU  9369280</v>
      </c>
      <c r="D188" s="35">
        <f>VLOOKUP(A188,PACKINGLIST!A:H,4,0)</f>
        <v>1</v>
      </c>
      <c r="E188" s="35">
        <f>VLOOKUP(A188,PACKINGLIST!A:H,5,0)</f>
        <v>72</v>
      </c>
      <c r="F188" s="35">
        <f>VLOOKUP(A188,PACKINGLIST!A:H,6,0)</f>
        <v>72</v>
      </c>
      <c r="G188" s="35" t="str">
        <f>VLOOKUP(A188,PACKINGLIST!A:H,7,0)</f>
        <v>PCS</v>
      </c>
      <c r="H188" s="36">
        <v>0.745</v>
      </c>
      <c r="I188" s="37">
        <f t="shared" si="21"/>
        <v>53.64</v>
      </c>
      <c r="J188" s="38">
        <f t="shared" si="22"/>
        <v>0</v>
      </c>
      <c r="K188" s="39"/>
      <c r="L188" s="3">
        <f t="shared" si="23"/>
        <v>0</v>
      </c>
      <c r="M188" s="3">
        <f t="shared" si="24"/>
        <v>0</v>
      </c>
    </row>
    <row r="189" s="3" customFormat="1" ht="14" customHeight="1" spans="1:13">
      <c r="A189" s="34">
        <f t="shared" si="29"/>
        <v>175</v>
      </c>
      <c r="B189" s="35">
        <f>VLOOKUP('USD INVOICE'!A189,PACKINGLIST!A:H,2,0)</f>
        <v>6001177</v>
      </c>
      <c r="C189" s="35" t="str">
        <f>VLOOKUP(A189,PACKINGLIST!A:I,3,0)</f>
        <v>TORX STAR ALLEN KEYS SET 9S 9363632</v>
      </c>
      <c r="D189" s="35">
        <f>VLOOKUP(A189,PACKINGLIST!A:H,4,0)</f>
        <v>2</v>
      </c>
      <c r="E189" s="35">
        <f>VLOOKUP(A189,PACKINGLIST!A:H,5,0)</f>
        <v>48</v>
      </c>
      <c r="F189" s="35">
        <f>VLOOKUP(A189,PACKINGLIST!A:H,6,0)</f>
        <v>96</v>
      </c>
      <c r="G189" s="35" t="str">
        <f>VLOOKUP(A189,PACKINGLIST!A:H,7,0)</f>
        <v>SET</v>
      </c>
      <c r="H189" s="36">
        <v>1.1801</v>
      </c>
      <c r="I189" s="37">
        <f t="shared" si="21"/>
        <v>113.2896</v>
      </c>
      <c r="J189" s="38">
        <f t="shared" si="22"/>
        <v>0</v>
      </c>
      <c r="K189" s="39"/>
      <c r="L189" s="3">
        <f t="shared" si="23"/>
        <v>0</v>
      </c>
      <c r="M189" s="3">
        <f t="shared" si="24"/>
        <v>0</v>
      </c>
    </row>
    <row r="190" s="3" customFormat="1" ht="14" customHeight="1" spans="1:13">
      <c r="A190" s="34">
        <f t="shared" si="29"/>
        <v>176</v>
      </c>
      <c r="B190" s="35">
        <f>VLOOKUP('USD INVOICE'!A190,PACKINGLIST!A:H,2,0)</f>
        <v>6001179</v>
      </c>
      <c r="C190" s="35" t="str">
        <f>VLOOKUP(A190,PACKINGLIST!A:I,3,0)</f>
        <v>AXE WITH WOODEN HANDLE 600G 9367665</v>
      </c>
      <c r="D190" s="35">
        <f>VLOOKUP(A190,PACKINGLIST!A:H,4,0)</f>
        <v>1</v>
      </c>
      <c r="E190" s="35">
        <f>VLOOKUP(A190,PACKINGLIST!A:H,5,0)</f>
        <v>24</v>
      </c>
      <c r="F190" s="35">
        <f>VLOOKUP(A190,PACKINGLIST!A:H,6,0)</f>
        <v>24</v>
      </c>
      <c r="G190" s="35" t="str">
        <f>VLOOKUP(A190,PACKINGLIST!A:H,7,0)</f>
        <v>PCS</v>
      </c>
      <c r="H190" s="36">
        <v>2.3905</v>
      </c>
      <c r="I190" s="37">
        <f t="shared" si="21"/>
        <v>57.372</v>
      </c>
      <c r="J190" s="38">
        <f t="shared" si="22"/>
        <v>0</v>
      </c>
      <c r="K190" s="39"/>
      <c r="L190" s="3">
        <f t="shared" si="23"/>
        <v>0</v>
      </c>
      <c r="M190" s="3">
        <f t="shared" si="24"/>
        <v>0</v>
      </c>
    </row>
    <row r="191" s="3" customFormat="1" ht="14" customHeight="1" spans="1:13">
      <c r="A191" s="34">
        <f t="shared" si="29"/>
        <v>177</v>
      </c>
      <c r="B191" s="35">
        <f>VLOOKUP('USD INVOICE'!A191,PACKINGLIST!A:H,2,0)</f>
        <v>6001194</v>
      </c>
      <c r="C191" s="35" t="str">
        <f>VLOOKUP(A191,PACKINGLIST!A:I,3,0)</f>
        <v>ADJUSTABLE WRENCH 8IN 9363577</v>
      </c>
      <c r="D191" s="35">
        <f>VLOOKUP(A191,PACKINGLIST!A:H,4,0)</f>
        <v>2</v>
      </c>
      <c r="E191" s="35">
        <f>VLOOKUP(A191,PACKINGLIST!A:H,5,0)</f>
        <v>48</v>
      </c>
      <c r="F191" s="35">
        <f>VLOOKUP(A191,PACKINGLIST!A:H,6,0)</f>
        <v>96</v>
      </c>
      <c r="G191" s="35" t="str">
        <f>VLOOKUP(A191,PACKINGLIST!A:H,7,0)</f>
        <v>PCS</v>
      </c>
      <c r="H191" s="36">
        <v>1.3012</v>
      </c>
      <c r="I191" s="37">
        <f t="shared" si="21"/>
        <v>124.9152</v>
      </c>
      <c r="J191" s="38">
        <f t="shared" si="22"/>
        <v>0</v>
      </c>
      <c r="K191" s="39"/>
      <c r="L191" s="3">
        <f t="shared" si="23"/>
        <v>0</v>
      </c>
      <c r="M191" s="3">
        <f t="shared" si="24"/>
        <v>0</v>
      </c>
    </row>
    <row r="192" s="3" customFormat="1" ht="14" customHeight="1" spans="1:13">
      <c r="A192" s="34">
        <f t="shared" si="29"/>
        <v>178</v>
      </c>
      <c r="B192" s="35">
        <f>VLOOKUP('USD INVOICE'!A192,PACKINGLIST!A:H,2,0)</f>
        <v>6001198</v>
      </c>
      <c r="C192" s="35" t="str">
        <f>VLOOKUP(A192,PACKINGLIST!A:I,3,0)</f>
        <v>DOUBLE OPEN END WRENCH SET 6S 9363766</v>
      </c>
      <c r="D192" s="35">
        <f>VLOOKUP(A192,PACKINGLIST!A:H,4,0)</f>
        <v>1</v>
      </c>
      <c r="E192" s="35">
        <f>VLOOKUP(A192,PACKINGLIST!A:H,5,0)</f>
        <v>20</v>
      </c>
      <c r="F192" s="35">
        <f>VLOOKUP(A192,PACKINGLIST!A:H,6,0)</f>
        <v>20</v>
      </c>
      <c r="G192" s="35" t="str">
        <f>VLOOKUP(A192,PACKINGLIST!A:H,7,0)</f>
        <v>SET</v>
      </c>
      <c r="H192" s="36">
        <v>3.0259</v>
      </c>
      <c r="I192" s="37">
        <f t="shared" si="21"/>
        <v>60.518</v>
      </c>
      <c r="J192" s="38">
        <f t="shared" si="22"/>
        <v>0</v>
      </c>
      <c r="K192" s="39"/>
      <c r="L192" s="3">
        <f t="shared" si="23"/>
        <v>0</v>
      </c>
      <c r="M192" s="3">
        <f t="shared" si="24"/>
        <v>0</v>
      </c>
    </row>
    <row r="193" s="3" customFormat="1" ht="14" customHeight="1" spans="1:13">
      <c r="A193" s="34">
        <f t="shared" si="29"/>
        <v>179</v>
      </c>
      <c r="B193" s="35">
        <f>VLOOKUP('USD INVOICE'!A193,PACKINGLIST!A:H,2,0)</f>
        <v>6001206</v>
      </c>
      <c r="C193" s="35" t="str">
        <f>VLOOKUP(A193,PACKINGLIST!A:I,3,0)</f>
        <v>S/S FLEXI HOSE 1.5M</v>
      </c>
      <c r="D193" s="35">
        <f>VLOOKUP(A193,PACKINGLIST!A:H,4,0)</f>
        <v>6</v>
      </c>
      <c r="E193" s="35">
        <f>VLOOKUP(A193,PACKINGLIST!A:H,5,0)</f>
        <v>48</v>
      </c>
      <c r="F193" s="35">
        <f>VLOOKUP(A193,PACKINGLIST!A:H,6,0)</f>
        <v>288</v>
      </c>
      <c r="G193" s="35" t="str">
        <f>VLOOKUP(A193,PACKINGLIST!A:H,7,0)</f>
        <v>BAG</v>
      </c>
      <c r="H193" s="36">
        <v>0.7334</v>
      </c>
      <c r="I193" s="37">
        <f t="shared" si="21"/>
        <v>211.2192</v>
      </c>
      <c r="J193" s="38">
        <f t="shared" si="22"/>
        <v>0</v>
      </c>
      <c r="K193" s="39"/>
      <c r="L193" s="3">
        <f t="shared" si="23"/>
        <v>0</v>
      </c>
      <c r="M193" s="3">
        <f t="shared" si="24"/>
        <v>0</v>
      </c>
    </row>
    <row r="194" s="3" customFormat="1" ht="14" customHeight="1" spans="1:13">
      <c r="A194" s="34">
        <f t="shared" si="29"/>
        <v>180</v>
      </c>
      <c r="B194" s="35">
        <f>VLOOKUP('USD INVOICE'!A194,PACKINGLIST!A:H,2,0)</f>
        <v>6001207</v>
      </c>
      <c r="C194" s="35" t="str">
        <f>VLOOKUP(A194,PACKINGLIST!A:I,3,0)</f>
        <v>S/S FLEXI HOSE 1.8M</v>
      </c>
      <c r="D194" s="35">
        <f>VLOOKUP(A194,PACKINGLIST!A:H,4,0)</f>
        <v>5</v>
      </c>
      <c r="E194" s="35">
        <f>VLOOKUP(A194,PACKINGLIST!A:H,5,0)</f>
        <v>48</v>
      </c>
      <c r="F194" s="35">
        <f>VLOOKUP(A194,PACKINGLIST!A:H,6,0)</f>
        <v>240</v>
      </c>
      <c r="G194" s="35" t="str">
        <f>VLOOKUP(A194,PACKINGLIST!A:H,7,0)</f>
        <v>BAG</v>
      </c>
      <c r="H194" s="36">
        <v>0.8069</v>
      </c>
      <c r="I194" s="37">
        <f t="shared" si="21"/>
        <v>193.656</v>
      </c>
      <c r="J194" s="38">
        <f t="shared" si="22"/>
        <v>0</v>
      </c>
      <c r="K194" s="39"/>
      <c r="L194" s="3">
        <f t="shared" si="23"/>
        <v>0</v>
      </c>
      <c r="M194" s="3">
        <f t="shared" si="24"/>
        <v>0</v>
      </c>
    </row>
    <row r="195" s="3" customFormat="1" ht="14" customHeight="1" spans="1:13">
      <c r="A195" s="34">
        <f t="shared" si="29"/>
        <v>181</v>
      </c>
      <c r="B195" s="35">
        <f>VLOOKUP('USD INVOICE'!A195,PACKINGLIST!A:H,2,0)</f>
        <v>6001211</v>
      </c>
      <c r="C195" s="35" t="str">
        <f>VLOOKUP(A195,PACKINGLIST!A:I,3,0)</f>
        <v>PAINT ROLLER 10IN PO EU  9369287</v>
      </c>
      <c r="D195" s="35">
        <f>VLOOKUP(A195,PACKINGLIST!A:H,4,0)</f>
        <v>9</v>
      </c>
      <c r="E195" s="35">
        <f>VLOOKUP(A195,PACKINGLIST!A:H,5,0)</f>
        <v>16</v>
      </c>
      <c r="F195" s="35">
        <f>VLOOKUP(A195,PACKINGLIST!A:H,6,0)</f>
        <v>144</v>
      </c>
      <c r="G195" s="35" t="str">
        <f>VLOOKUP(A195,PACKINGLIST!A:H,7,0)</f>
        <v>PCS</v>
      </c>
      <c r="H195" s="36">
        <v>0.8703</v>
      </c>
      <c r="I195" s="37">
        <f t="shared" si="21"/>
        <v>125.3232</v>
      </c>
      <c r="J195" s="38">
        <f t="shared" si="22"/>
        <v>0</v>
      </c>
      <c r="K195" s="39"/>
      <c r="L195" s="3">
        <f t="shared" si="23"/>
        <v>0</v>
      </c>
      <c r="M195" s="3">
        <f t="shared" si="24"/>
        <v>0</v>
      </c>
    </row>
    <row r="196" s="3" customFormat="1" ht="14" customHeight="1" spans="1:13">
      <c r="A196" s="34">
        <f t="shared" ref="A196:A205" si="30">ROW()-14</f>
        <v>182</v>
      </c>
      <c r="B196" s="35">
        <f>VLOOKUP('USD INVOICE'!A196,PACKINGLIST!A:H,2,0)</f>
        <v>6001216</v>
      </c>
      <c r="C196" s="35" t="str">
        <f>VLOOKUP(A196,PACKINGLIST!A:I,3,0)</f>
        <v>CAULKING GUN 310MM 9364526</v>
      </c>
      <c r="D196" s="35">
        <f>VLOOKUP(A196,PACKINGLIST!A:H,4,0)</f>
        <v>4</v>
      </c>
      <c r="E196" s="35">
        <f>VLOOKUP(A196,PACKINGLIST!A:H,5,0)</f>
        <v>36</v>
      </c>
      <c r="F196" s="35">
        <f>VLOOKUP(A196,PACKINGLIST!A:H,6,0)</f>
        <v>144</v>
      </c>
      <c r="G196" s="35" t="str">
        <f>VLOOKUP(A196,PACKINGLIST!A:H,7,0)</f>
        <v>PCS</v>
      </c>
      <c r="H196" s="36">
        <v>0.7637</v>
      </c>
      <c r="I196" s="37">
        <f t="shared" si="21"/>
        <v>109.9728</v>
      </c>
      <c r="J196" s="38">
        <f t="shared" si="22"/>
        <v>0</v>
      </c>
      <c r="K196" s="39"/>
      <c r="L196" s="3">
        <f t="shared" si="23"/>
        <v>0</v>
      </c>
      <c r="M196" s="3">
        <f t="shared" si="24"/>
        <v>0</v>
      </c>
    </row>
    <row r="197" s="3" customFormat="1" ht="14" customHeight="1" spans="1:13">
      <c r="A197" s="34">
        <f t="shared" si="30"/>
        <v>183</v>
      </c>
      <c r="B197" s="35">
        <f>VLOOKUP('USD INVOICE'!A197,PACKINGLIST!A:H,2,0)</f>
        <v>6001222</v>
      </c>
      <c r="C197" s="35" t="str">
        <f>VLOOKUP(A197,PACKINGLIST!A:I,3,0)</f>
        <v>CAULKING GUN 350MM 9364549</v>
      </c>
      <c r="D197" s="35">
        <f>VLOOKUP(A197,PACKINGLIST!A:H,4,0)</f>
        <v>1</v>
      </c>
      <c r="E197" s="35">
        <f>VLOOKUP(A197,PACKINGLIST!A:H,5,0)</f>
        <v>24</v>
      </c>
      <c r="F197" s="35">
        <f>VLOOKUP(A197,PACKINGLIST!A:H,6,0)</f>
        <v>24</v>
      </c>
      <c r="G197" s="35" t="str">
        <f>VLOOKUP(A197,PACKINGLIST!A:H,7,0)</f>
        <v>PCS</v>
      </c>
      <c r="H197" s="36">
        <v>0.7334</v>
      </c>
      <c r="I197" s="37">
        <f t="shared" si="21"/>
        <v>17.6016</v>
      </c>
      <c r="J197" s="38">
        <f t="shared" si="22"/>
        <v>0</v>
      </c>
      <c r="K197" s="39"/>
      <c r="L197" s="3">
        <f t="shared" si="23"/>
        <v>0</v>
      </c>
      <c r="M197" s="3">
        <f t="shared" si="24"/>
        <v>0</v>
      </c>
    </row>
    <row r="198" s="3" customFormat="1" ht="14" customHeight="1" spans="1:13">
      <c r="A198" s="34">
        <f t="shared" si="30"/>
        <v>184</v>
      </c>
      <c r="B198" s="35">
        <f>VLOOKUP('USD INVOICE'!A198,PACKINGLIST!A:H,2,0)</f>
        <v>9067884</v>
      </c>
      <c r="C198" s="35" t="str">
        <f>VLOOKUP(A198,PACKINGLIST!A:I,3,0)</f>
        <v>BIRTHDAY HAT </v>
      </c>
      <c r="D198" s="35">
        <f>VLOOKUP(A198,PACKINGLIST!A:H,4,0)</f>
        <v>2</v>
      </c>
      <c r="E198" s="35">
        <f>VLOOKUP(A198,PACKINGLIST!A:H,5,0)</f>
        <v>100</v>
      </c>
      <c r="F198" s="35">
        <f>VLOOKUP(A198,PACKINGLIST!A:H,6,0)</f>
        <v>200</v>
      </c>
      <c r="G198" s="35" t="str">
        <f>VLOOKUP(A198,PACKINGLIST!A:H,7,0)</f>
        <v>PCS</v>
      </c>
      <c r="H198" s="36">
        <v>0.1153</v>
      </c>
      <c r="I198" s="37">
        <f t="shared" si="21"/>
        <v>23.06</v>
      </c>
      <c r="J198" s="38">
        <f t="shared" si="22"/>
        <v>0</v>
      </c>
      <c r="K198" s="39"/>
      <c r="L198" s="3">
        <f t="shared" si="23"/>
        <v>0</v>
      </c>
      <c r="M198" s="3">
        <f t="shared" si="24"/>
        <v>0</v>
      </c>
    </row>
    <row r="199" s="3" customFormat="1" ht="14" customHeight="1" spans="1:13">
      <c r="A199" s="34">
        <f t="shared" si="30"/>
        <v>185</v>
      </c>
      <c r="B199" s="35">
        <f>VLOOKUP('USD INVOICE'!A199,PACKINGLIST!A:H,2,0)</f>
        <v>8963146</v>
      </c>
      <c r="C199" s="35" t="str">
        <f>VLOOKUP(A199,PACKINGLIST!A:I,3,0)</f>
        <v>BLIND BOX-CAPYBARA FY0554#</v>
      </c>
      <c r="D199" s="35">
        <f>VLOOKUP(A199,PACKINGLIST!A:H,4,0)</f>
        <v>2</v>
      </c>
      <c r="E199" s="35">
        <f>VLOOKUP(A199,PACKINGLIST!A:H,5,0)</f>
        <v>1440</v>
      </c>
      <c r="F199" s="35">
        <f>VLOOKUP(A199,PACKINGLIST!A:H,6,0)</f>
        <v>2880</v>
      </c>
      <c r="G199" s="35" t="str">
        <f>VLOOKUP(A199,PACKINGLIST!A:H,7,0)</f>
        <v>PCS</v>
      </c>
      <c r="H199" s="36">
        <v>0.1225</v>
      </c>
      <c r="I199" s="37">
        <f t="shared" si="21"/>
        <v>352.8</v>
      </c>
      <c r="J199" s="38">
        <f t="shared" si="22"/>
        <v>0</v>
      </c>
      <c r="K199" s="39"/>
      <c r="L199" s="3">
        <f t="shared" si="23"/>
        <v>0</v>
      </c>
      <c r="M199" s="3">
        <f t="shared" si="24"/>
        <v>0</v>
      </c>
    </row>
    <row r="200" s="3" customFormat="1" ht="14" customHeight="1" spans="1:13">
      <c r="A200" s="34">
        <f t="shared" si="30"/>
        <v>186</v>
      </c>
      <c r="B200" s="35">
        <f>VLOOKUP('USD INVOICE'!A200,PACKINGLIST!A:H,2,0)</f>
        <v>8963147</v>
      </c>
      <c r="C200" s="35" t="str">
        <f>VLOOKUP(A200,PACKINGLIST!A:I,3,0)</f>
        <v>BLIND BOX-GLOW TURTLE FY0862#</v>
      </c>
      <c r="D200" s="35">
        <f>VLOOKUP(A200,PACKINGLIST!A:H,4,0)</f>
        <v>2</v>
      </c>
      <c r="E200" s="35">
        <f>VLOOKUP(A200,PACKINGLIST!A:H,5,0)</f>
        <v>1440</v>
      </c>
      <c r="F200" s="35">
        <f>VLOOKUP(A200,PACKINGLIST!A:H,6,0)</f>
        <v>2880</v>
      </c>
      <c r="G200" s="35" t="str">
        <f>VLOOKUP(A200,PACKINGLIST!A:H,7,0)</f>
        <v>PCS</v>
      </c>
      <c r="H200" s="36">
        <v>0.1225</v>
      </c>
      <c r="I200" s="37">
        <f t="shared" si="21"/>
        <v>352.8</v>
      </c>
      <c r="J200" s="38">
        <f t="shared" si="22"/>
        <v>0</v>
      </c>
      <c r="K200" s="39"/>
      <c r="L200" s="3">
        <f t="shared" si="23"/>
        <v>0</v>
      </c>
      <c r="M200" s="3">
        <f t="shared" si="24"/>
        <v>0</v>
      </c>
    </row>
    <row r="201" s="3" customFormat="1" ht="14" customHeight="1" spans="1:13">
      <c r="A201" s="34">
        <f t="shared" si="30"/>
        <v>187</v>
      </c>
      <c r="B201" s="35">
        <f>VLOOKUP('USD INVOICE'!A201,PACKINGLIST!A:H,2,0)</f>
        <v>8963148</v>
      </c>
      <c r="C201" s="35" t="str">
        <f>VLOOKUP(A201,PACKINGLIST!A:I,3,0)</f>
        <v>BLIND BOX-GLOW TEAPOT DOLL FY0858#</v>
      </c>
      <c r="D201" s="35">
        <f>VLOOKUP(A201,PACKINGLIST!A:H,4,0)</f>
        <v>2</v>
      </c>
      <c r="E201" s="35">
        <f>VLOOKUP(A201,PACKINGLIST!A:H,5,0)</f>
        <v>1440</v>
      </c>
      <c r="F201" s="35">
        <f>VLOOKUP(A201,PACKINGLIST!A:H,6,0)</f>
        <v>2880</v>
      </c>
      <c r="G201" s="35" t="str">
        <f>VLOOKUP(A201,PACKINGLIST!A:H,7,0)</f>
        <v>PCS</v>
      </c>
      <c r="H201" s="36">
        <v>0.1225</v>
      </c>
      <c r="I201" s="37">
        <f t="shared" si="21"/>
        <v>352.8</v>
      </c>
      <c r="J201" s="38">
        <f t="shared" si="22"/>
        <v>0</v>
      </c>
      <c r="K201" s="39"/>
      <c r="L201" s="3">
        <f t="shared" si="23"/>
        <v>0</v>
      </c>
      <c r="M201" s="3">
        <f t="shared" si="24"/>
        <v>0</v>
      </c>
    </row>
    <row r="202" s="3" customFormat="1" ht="14" customHeight="1" spans="1:13">
      <c r="A202" s="34">
        <f t="shared" si="30"/>
        <v>188</v>
      </c>
      <c r="B202" s="35">
        <f>VLOOKUP('USD INVOICE'!A202,PACKINGLIST!A:H,2,0)</f>
        <v>8963149</v>
      </c>
      <c r="C202" s="35" t="str">
        <f>VLOOKUP(A202,PACKINGLIST!A:I,3,0)</f>
        <v>BLIND BOX-SHEEP FY0856#</v>
      </c>
      <c r="D202" s="35">
        <f>VLOOKUP(A202,PACKINGLIST!A:H,4,0)</f>
        <v>2</v>
      </c>
      <c r="E202" s="35">
        <f>VLOOKUP(A202,PACKINGLIST!A:H,5,0)</f>
        <v>1440</v>
      </c>
      <c r="F202" s="35">
        <f>VLOOKUP(A202,PACKINGLIST!A:H,6,0)</f>
        <v>2880</v>
      </c>
      <c r="G202" s="35" t="str">
        <f>VLOOKUP(A202,PACKINGLIST!A:H,7,0)</f>
        <v>PCS</v>
      </c>
      <c r="H202" s="36">
        <v>0.1225</v>
      </c>
      <c r="I202" s="37">
        <f t="shared" si="21"/>
        <v>352.8</v>
      </c>
      <c r="J202" s="38">
        <f t="shared" si="22"/>
        <v>0</v>
      </c>
      <c r="K202" s="39"/>
      <c r="L202" s="3">
        <f t="shared" si="23"/>
        <v>0</v>
      </c>
      <c r="M202" s="3">
        <f t="shared" si="24"/>
        <v>0</v>
      </c>
    </row>
    <row r="203" s="3" customFormat="1" ht="14" customHeight="1" spans="1:13">
      <c r="A203" s="34">
        <f t="shared" si="30"/>
        <v>189</v>
      </c>
      <c r="B203" s="35">
        <f>VLOOKUP('USD INVOICE'!A203,PACKINGLIST!A:H,2,0)</f>
        <v>8963150</v>
      </c>
      <c r="C203" s="35" t="str">
        <f>VLOOKUP(A203,PACKINGLIST!A:I,3,0)</f>
        <v>BLIND BOX-CHEESE DOLL FY0872#</v>
      </c>
      <c r="D203" s="35">
        <f>VLOOKUP(A203,PACKINGLIST!A:H,4,0)</f>
        <v>2</v>
      </c>
      <c r="E203" s="35">
        <f>VLOOKUP(A203,PACKINGLIST!A:H,5,0)</f>
        <v>864</v>
      </c>
      <c r="F203" s="35">
        <f>VLOOKUP(A203,PACKINGLIST!A:H,6,0)</f>
        <v>1728</v>
      </c>
      <c r="G203" s="35" t="str">
        <f>VLOOKUP(A203,PACKINGLIST!A:H,7,0)</f>
        <v>PCS</v>
      </c>
      <c r="H203" s="36">
        <v>0.1945</v>
      </c>
      <c r="I203" s="37">
        <f t="shared" si="21"/>
        <v>336.096</v>
      </c>
      <c r="J203" s="38">
        <f t="shared" si="22"/>
        <v>0</v>
      </c>
      <c r="K203" s="39"/>
      <c r="L203" s="3">
        <f t="shared" si="23"/>
        <v>0</v>
      </c>
      <c r="M203" s="3">
        <f t="shared" si="24"/>
        <v>0</v>
      </c>
    </row>
    <row r="204" s="3" customFormat="1" ht="14" customHeight="1" spans="1:13">
      <c r="A204" s="34">
        <f t="shared" si="30"/>
        <v>190</v>
      </c>
      <c r="B204" s="35">
        <f>VLOOKUP('USD INVOICE'!A204,PACKINGLIST!A:H,2,0)</f>
        <v>8963151</v>
      </c>
      <c r="C204" s="35" t="str">
        <f>VLOOKUP(A204,PACKINGLIST!A:I,3,0)</f>
        <v>BLIND BOX-RABBIT LIZ DOLL FY0557#</v>
      </c>
      <c r="D204" s="35">
        <f>VLOOKUP(A204,PACKINGLIST!A:H,4,0)</f>
        <v>2</v>
      </c>
      <c r="E204" s="35">
        <f>VLOOKUP(A204,PACKINGLIST!A:H,5,0)</f>
        <v>648</v>
      </c>
      <c r="F204" s="35">
        <f>VLOOKUP(A204,PACKINGLIST!A:H,6,0)</f>
        <v>1296</v>
      </c>
      <c r="G204" s="35" t="str">
        <f>VLOOKUP(A204,PACKINGLIST!A:H,7,0)</f>
        <v>PCS</v>
      </c>
      <c r="H204" s="36">
        <v>0.1945</v>
      </c>
      <c r="I204" s="37">
        <f t="shared" si="21"/>
        <v>252.072</v>
      </c>
      <c r="J204" s="38">
        <f t="shared" si="22"/>
        <v>0</v>
      </c>
      <c r="K204" s="39"/>
      <c r="L204" s="3">
        <f t="shared" si="23"/>
        <v>0</v>
      </c>
      <c r="M204" s="3">
        <f t="shared" si="24"/>
        <v>0</v>
      </c>
    </row>
    <row r="205" s="3" customFormat="1" ht="14" customHeight="1" spans="1:13">
      <c r="A205" s="34">
        <f t="shared" si="30"/>
        <v>191</v>
      </c>
      <c r="B205" s="35">
        <f>VLOOKUP('USD INVOICE'!A205,PACKINGLIST!A:H,2,0)</f>
        <v>8963152</v>
      </c>
      <c r="C205" s="35" t="str">
        <f>VLOOKUP(A205,PACKINGLIST!A:I,3,0)</f>
        <v>BLIND BOX-KIKI DOLL FY0721#</v>
      </c>
      <c r="D205" s="35">
        <f>VLOOKUP(A205,PACKINGLIST!A:H,4,0)</f>
        <v>2</v>
      </c>
      <c r="E205" s="35">
        <f>VLOOKUP(A205,PACKINGLIST!A:H,5,0)</f>
        <v>576</v>
      </c>
      <c r="F205" s="35">
        <f>VLOOKUP(A205,PACKINGLIST!A:H,6,0)</f>
        <v>1152</v>
      </c>
      <c r="G205" s="35" t="str">
        <f>VLOOKUP(A205,PACKINGLIST!A:H,7,0)</f>
        <v>PCS</v>
      </c>
      <c r="H205" s="36">
        <v>0.3098</v>
      </c>
      <c r="I205" s="37">
        <f t="shared" si="21"/>
        <v>356.8896</v>
      </c>
      <c r="J205" s="38">
        <f t="shared" si="22"/>
        <v>0</v>
      </c>
      <c r="K205" s="39"/>
      <c r="L205" s="3">
        <f t="shared" si="23"/>
        <v>0</v>
      </c>
      <c r="M205" s="3">
        <f t="shared" si="24"/>
        <v>0</v>
      </c>
    </row>
    <row r="206" s="3" customFormat="1" ht="14" customHeight="1" spans="1:13">
      <c r="A206" s="34">
        <f t="shared" ref="A206:A215" si="31">ROW()-14</f>
        <v>192</v>
      </c>
      <c r="B206" s="35">
        <f>VLOOKUP('USD INVOICE'!A206,PACKINGLIST!A:H,2,0)</f>
        <v>8963153</v>
      </c>
      <c r="C206" s="35" t="str">
        <f>VLOOKUP(A206,PACKINGLIST!A:I,3,0)</f>
        <v>BLIND BOX-GLOW FRUIT DOLL FY0867#</v>
      </c>
      <c r="D206" s="35">
        <f>VLOOKUP(A206,PACKINGLIST!A:H,4,0)</f>
        <v>2</v>
      </c>
      <c r="E206" s="35">
        <f>VLOOKUP(A206,PACKINGLIST!A:H,5,0)</f>
        <v>576</v>
      </c>
      <c r="F206" s="35">
        <f>VLOOKUP(A206,PACKINGLIST!A:H,6,0)</f>
        <v>1152</v>
      </c>
      <c r="G206" s="35" t="str">
        <f>VLOOKUP(A206,PACKINGLIST!A:H,7,0)</f>
        <v>PCS</v>
      </c>
      <c r="H206" s="36">
        <v>0.317</v>
      </c>
      <c r="I206" s="37">
        <f t="shared" si="21"/>
        <v>365.184</v>
      </c>
      <c r="J206" s="38">
        <f t="shared" si="22"/>
        <v>0</v>
      </c>
      <c r="K206" s="39"/>
      <c r="L206" s="3">
        <f t="shared" si="23"/>
        <v>0</v>
      </c>
      <c r="M206" s="3">
        <f t="shared" si="24"/>
        <v>0</v>
      </c>
    </row>
    <row r="207" s="3" customFormat="1" ht="14" customHeight="1" spans="1:13">
      <c r="A207" s="34">
        <f t="shared" si="31"/>
        <v>193</v>
      </c>
      <c r="B207" s="35">
        <f>VLOOKUP('USD INVOICE'!A207,PACKINGLIST!A:H,2,0)</f>
        <v>8962339</v>
      </c>
      <c r="C207" s="35" t="str">
        <f>VLOOKUP(A207,PACKINGLIST!A:I,3,0)</f>
        <v>PARTY B'DAY CROWN</v>
      </c>
      <c r="D207" s="35">
        <f>VLOOKUP(A207,PACKINGLIST!A:H,4,0)</f>
        <v>2</v>
      </c>
      <c r="E207" s="35">
        <f>VLOOKUP(A207,PACKINGLIST!A:H,5,0)</f>
        <v>600</v>
      </c>
      <c r="F207" s="35">
        <f>VLOOKUP(A207,PACKINGLIST!A:H,6,0)</f>
        <v>1200</v>
      </c>
      <c r="G207" s="35" t="str">
        <f>VLOOKUP(A207,PACKINGLIST!A:H,7,0)</f>
        <v>BAG</v>
      </c>
      <c r="H207" s="36">
        <v>0.2161</v>
      </c>
      <c r="I207" s="37">
        <f t="shared" si="21"/>
        <v>259.32</v>
      </c>
      <c r="J207" s="38">
        <f t="shared" si="22"/>
        <v>0</v>
      </c>
      <c r="K207" s="39"/>
      <c r="L207" s="3">
        <f t="shared" si="23"/>
        <v>0</v>
      </c>
      <c r="M207" s="3">
        <f t="shared" si="24"/>
        <v>0</v>
      </c>
    </row>
    <row r="208" s="3" customFormat="1" ht="14" customHeight="1" spans="1:13">
      <c r="A208" s="34">
        <f t="shared" si="31"/>
        <v>194</v>
      </c>
      <c r="B208" s="35">
        <f>VLOOKUP('USD INVOICE'!A208,PACKINGLIST!A:H,2,0)</f>
        <v>8955148</v>
      </c>
      <c r="C208" s="35" t="str">
        <f>VLOOKUP(A208,PACKINGLIST!A:I,3,0)</f>
        <v>RC GLOSSY PHOTO PAPER A4 260G_JR-3001-3#</v>
      </c>
      <c r="D208" s="35">
        <f>VLOOKUP(A208,PACKINGLIST!A:H,4,0)</f>
        <v>1</v>
      </c>
      <c r="E208" s="35">
        <f>VLOOKUP(A208,PACKINGLIST!A:H,5,0)</f>
        <v>60</v>
      </c>
      <c r="F208" s="35">
        <f>VLOOKUP(A208,PACKINGLIST!A:H,6,0)</f>
        <v>60</v>
      </c>
      <c r="G208" s="35" t="str">
        <f>VLOOKUP(A208,PACKINGLIST!A:H,7,0)</f>
        <v>BAG</v>
      </c>
      <c r="H208" s="36">
        <v>1.513</v>
      </c>
      <c r="I208" s="37">
        <f t="shared" ref="I208:I224" si="32">F208*H208</f>
        <v>90.78</v>
      </c>
      <c r="J208" s="38">
        <f t="shared" ref="J208:J224" si="33">F208*L208-F208*M208</f>
        <v>0</v>
      </c>
      <c r="K208" s="39"/>
      <c r="L208" s="3">
        <f t="shared" ref="L208:L224" si="34">K208/7.09</f>
        <v>0</v>
      </c>
      <c r="M208" s="3">
        <f t="shared" ref="M208:M224" si="35">ROUND(L208,4)</f>
        <v>0</v>
      </c>
    </row>
    <row r="209" s="3" customFormat="1" ht="14" customHeight="1" spans="1:13">
      <c r="A209" s="34">
        <f t="shared" si="31"/>
        <v>195</v>
      </c>
      <c r="B209" s="35">
        <f>VLOOKUP('USD INVOICE'!A209,PACKINGLIST!A:H,2,0)</f>
        <v>8955150</v>
      </c>
      <c r="C209" s="35" t="str">
        <f>VLOOKUP(A209,PACKINGLIST!A:I,3,0)</f>
        <v>G.STICKY PHOTO PAPER A4 135G_JS-3007-1#</v>
      </c>
      <c r="D209" s="35">
        <f>VLOOKUP(A209,PACKINGLIST!A:H,4,0)</f>
        <v>1</v>
      </c>
      <c r="E209" s="35">
        <f>VLOOKUP(A209,PACKINGLIST!A:H,5,0)</f>
        <v>32</v>
      </c>
      <c r="F209" s="35">
        <f>VLOOKUP(A209,PACKINGLIST!A:H,6,0)</f>
        <v>32</v>
      </c>
      <c r="G209" s="35" t="str">
        <f>VLOOKUP(A209,PACKINGLIST!A:H,7,0)</f>
        <v>BAG</v>
      </c>
      <c r="H209" s="36">
        <v>1.6715</v>
      </c>
      <c r="I209" s="37">
        <f t="shared" si="32"/>
        <v>53.488</v>
      </c>
      <c r="J209" s="38">
        <f t="shared" si="33"/>
        <v>0</v>
      </c>
      <c r="K209" s="39"/>
      <c r="L209" s="3">
        <f t="shared" si="34"/>
        <v>0</v>
      </c>
      <c r="M209" s="3">
        <f t="shared" si="35"/>
        <v>0</v>
      </c>
    </row>
    <row r="210" s="3" customFormat="1" ht="14" customHeight="1" spans="1:13">
      <c r="A210" s="34">
        <f t="shared" si="31"/>
        <v>196</v>
      </c>
      <c r="B210" s="35">
        <f>VLOOKUP('USD INVOICE'!A210,PACKINGLIST!A:H,2,0)</f>
        <v>6000461</v>
      </c>
      <c r="C210" s="35" t="str">
        <f>VLOOKUP(A210,PACKINGLIST!A:I,3,0)</f>
        <v>BATTERY SENSOR LIGHT BMSL2202</v>
      </c>
      <c r="D210" s="35">
        <f>VLOOKUP(A210,PACKINGLIST!A:H,4,0)</f>
        <v>15</v>
      </c>
      <c r="E210" s="35">
        <f>VLOOKUP(A210,PACKINGLIST!A:H,5,0)</f>
        <v>24</v>
      </c>
      <c r="F210" s="35">
        <f>VLOOKUP(A210,PACKINGLIST!A:H,6,0)</f>
        <v>360</v>
      </c>
      <c r="G210" s="35" t="str">
        <f>VLOOKUP(A210,PACKINGLIST!A:H,7,0)</f>
        <v>PCS</v>
      </c>
      <c r="H210" s="36">
        <v>1.0375</v>
      </c>
      <c r="I210" s="37">
        <f t="shared" si="32"/>
        <v>373.5</v>
      </c>
      <c r="J210" s="38">
        <f t="shared" si="33"/>
        <v>0</v>
      </c>
      <c r="K210" s="39"/>
      <c r="L210" s="3">
        <f t="shared" si="34"/>
        <v>0</v>
      </c>
      <c r="M210" s="3">
        <f t="shared" si="35"/>
        <v>0</v>
      </c>
    </row>
    <row r="211" s="3" customFormat="1" ht="14" customHeight="1" spans="1:13">
      <c r="A211" s="34">
        <f t="shared" si="31"/>
        <v>197</v>
      </c>
      <c r="B211" s="35">
        <f>VLOOKUP('USD INVOICE'!A211,PACKINGLIST!A:H,2,0)</f>
        <v>9047196</v>
      </c>
      <c r="C211" s="35" t="str">
        <f>VLOOKUP(A211,PACKINGLIST!A:I,3,0)</f>
        <v>WRAPPING PAPER 1PC_53*75CM F1_201102#</v>
      </c>
      <c r="D211" s="35">
        <f>VLOOKUP(A211,PACKINGLIST!A:H,4,0)</f>
        <v>3</v>
      </c>
      <c r="E211" s="35">
        <f>VLOOKUP(A211,PACKINGLIST!A:H,5,0)</f>
        <v>60</v>
      </c>
      <c r="F211" s="35">
        <f>VLOOKUP(A211,PACKINGLIST!A:H,6,0)</f>
        <v>180</v>
      </c>
      <c r="G211" s="35" t="str">
        <f>VLOOKUP(A211,PACKINGLIST!A:H,7,0)</f>
        <v>BAG</v>
      </c>
      <c r="H211" s="36">
        <v>0.2349</v>
      </c>
      <c r="I211" s="37">
        <f t="shared" si="32"/>
        <v>42.282</v>
      </c>
      <c r="J211" s="38">
        <f t="shared" si="33"/>
        <v>0</v>
      </c>
      <c r="K211" s="39"/>
      <c r="L211" s="3">
        <f t="shared" si="34"/>
        <v>0</v>
      </c>
      <c r="M211" s="3">
        <f t="shared" si="35"/>
        <v>0</v>
      </c>
    </row>
    <row r="212" s="3" customFormat="1" ht="14" customHeight="1" spans="1:13">
      <c r="A212" s="34">
        <f t="shared" si="31"/>
        <v>198</v>
      </c>
      <c r="B212" s="35">
        <f>VLOOKUP('USD INVOICE'!A212,PACKINGLIST!A:H,2,0)</f>
        <v>9047197</v>
      </c>
      <c r="C212" s="35" t="str">
        <f>VLOOKUP(A212,PACKINGLIST!A:I,3,0)</f>
        <v>WRAPPING PAPER 1PC_53*75CM F1_201103#</v>
      </c>
      <c r="D212" s="35">
        <f>VLOOKUP(A212,PACKINGLIST!A:H,4,0)</f>
        <v>3</v>
      </c>
      <c r="E212" s="35">
        <f>VLOOKUP(A212,PACKINGLIST!A:H,5,0)</f>
        <v>60</v>
      </c>
      <c r="F212" s="35">
        <f>VLOOKUP(A212,PACKINGLIST!A:H,6,0)</f>
        <v>180</v>
      </c>
      <c r="G212" s="35" t="str">
        <f>VLOOKUP(A212,PACKINGLIST!A:H,7,0)</f>
        <v>BAG</v>
      </c>
      <c r="H212" s="36">
        <v>0.2349</v>
      </c>
      <c r="I212" s="37">
        <f t="shared" si="32"/>
        <v>42.282</v>
      </c>
      <c r="J212" s="38">
        <f t="shared" si="33"/>
        <v>0</v>
      </c>
      <c r="K212" s="39"/>
      <c r="L212" s="3">
        <f t="shared" si="34"/>
        <v>0</v>
      </c>
      <c r="M212" s="3">
        <f t="shared" si="35"/>
        <v>0</v>
      </c>
    </row>
    <row r="213" s="3" customFormat="1" ht="14" customHeight="1" spans="1:13">
      <c r="A213" s="34">
        <f t="shared" si="31"/>
        <v>199</v>
      </c>
      <c r="B213" s="35">
        <f>VLOOKUP('USD INVOICE'!A213,PACKINGLIST!A:H,2,0)</f>
        <v>9047198</v>
      </c>
      <c r="C213" s="35" t="str">
        <f>VLOOKUP(A213,PACKINGLIST!A:I,3,0)</f>
        <v>WRAPPING PAPER 2IN1_70*100CM F1_201104#</v>
      </c>
      <c r="D213" s="35">
        <f>VLOOKUP(A213,PACKINGLIST!A:H,4,0)</f>
        <v>6</v>
      </c>
      <c r="E213" s="35">
        <f>VLOOKUP(A213,PACKINGLIST!A:H,5,0)</f>
        <v>60</v>
      </c>
      <c r="F213" s="35">
        <f>VLOOKUP(A213,PACKINGLIST!A:H,6,0)</f>
        <v>360</v>
      </c>
      <c r="G213" s="35" t="str">
        <f>VLOOKUP(A213,PACKINGLIST!A:H,7,0)</f>
        <v>BAG</v>
      </c>
      <c r="H213" s="36">
        <v>0.2565</v>
      </c>
      <c r="I213" s="37">
        <f t="shared" si="32"/>
        <v>92.34</v>
      </c>
      <c r="J213" s="38">
        <f t="shared" si="33"/>
        <v>0</v>
      </c>
      <c r="K213" s="39"/>
      <c r="L213" s="3">
        <f t="shared" si="34"/>
        <v>0</v>
      </c>
      <c r="M213" s="3">
        <f t="shared" si="35"/>
        <v>0</v>
      </c>
    </row>
    <row r="214" s="3" customFormat="1" ht="14" customHeight="1" spans="1:13">
      <c r="A214" s="34">
        <f t="shared" si="31"/>
        <v>200</v>
      </c>
      <c r="B214" s="35">
        <f>VLOOKUP('USD INVOICE'!A214,PACKINGLIST!A:H,2,0)</f>
        <v>9047200</v>
      </c>
      <c r="C214" s="35" t="str">
        <f>VLOOKUP(A214,PACKINGLIST!A:I,3,0)</f>
        <v>WRAPPING PAPER 2IN1_70*100CM F1_201106#</v>
      </c>
      <c r="D214" s="35">
        <f>VLOOKUP(A214,PACKINGLIST!A:H,4,0)</f>
        <v>3</v>
      </c>
      <c r="E214" s="35">
        <f>VLOOKUP(A214,PACKINGLIST!A:H,5,0)</f>
        <v>60</v>
      </c>
      <c r="F214" s="35">
        <f>VLOOKUP(A214,PACKINGLIST!A:H,6,0)</f>
        <v>180</v>
      </c>
      <c r="G214" s="35" t="str">
        <f>VLOOKUP(A214,PACKINGLIST!A:H,7,0)</f>
        <v>BAG</v>
      </c>
      <c r="H214" s="36">
        <v>0.2565</v>
      </c>
      <c r="I214" s="37">
        <f t="shared" si="32"/>
        <v>46.17</v>
      </c>
      <c r="J214" s="38">
        <f t="shared" si="33"/>
        <v>0</v>
      </c>
      <c r="K214" s="39"/>
      <c r="L214" s="3">
        <f t="shared" si="34"/>
        <v>0</v>
      </c>
      <c r="M214" s="3">
        <f t="shared" si="35"/>
        <v>0</v>
      </c>
    </row>
    <row r="215" s="3" customFormat="1" ht="14" customHeight="1" spans="1:13">
      <c r="A215" s="34">
        <f t="shared" si="31"/>
        <v>201</v>
      </c>
      <c r="B215" s="35">
        <f>VLOOKUP('USD INVOICE'!A215,PACKINGLIST!A:H,2,0)</f>
        <v>9047201</v>
      </c>
      <c r="C215" s="35" t="str">
        <f>VLOOKUP(A215,PACKINGLIST!A:I,3,0)</f>
        <v>WRAPPING PAPER 2IN1_70*100CM F1_201107#</v>
      </c>
      <c r="D215" s="35">
        <f>VLOOKUP(A215,PACKINGLIST!A:H,4,0)</f>
        <v>3</v>
      </c>
      <c r="E215" s="35">
        <f>VLOOKUP(A215,PACKINGLIST!A:H,5,0)</f>
        <v>60</v>
      </c>
      <c r="F215" s="35">
        <f>VLOOKUP(A215,PACKINGLIST!A:H,6,0)</f>
        <v>180</v>
      </c>
      <c r="G215" s="35" t="str">
        <f>VLOOKUP(A215,PACKINGLIST!A:H,7,0)</f>
        <v>BAG</v>
      </c>
      <c r="H215" s="36">
        <v>0.2565</v>
      </c>
      <c r="I215" s="37">
        <f t="shared" si="32"/>
        <v>46.17</v>
      </c>
      <c r="J215" s="38">
        <f t="shared" si="33"/>
        <v>0</v>
      </c>
      <c r="K215" s="39"/>
      <c r="L215" s="3">
        <f t="shared" si="34"/>
        <v>0</v>
      </c>
      <c r="M215" s="3">
        <f t="shared" si="35"/>
        <v>0</v>
      </c>
    </row>
    <row r="216" s="3" customFormat="1" ht="14" customHeight="1" spans="1:13">
      <c r="A216" s="34">
        <f t="shared" ref="A216:A225" si="36">ROW()-14</f>
        <v>202</v>
      </c>
      <c r="B216" s="35">
        <f>VLOOKUP('USD INVOICE'!A216,PACKINGLIST!A:H,2,0)</f>
        <v>9047313</v>
      </c>
      <c r="C216" s="35" t="str">
        <f>VLOOKUP(A216,PACKINGLIST!A:I,3,0)</f>
        <v>WRAPPING PAPER 5IN1 51*75CM</v>
      </c>
      <c r="D216" s="35">
        <f>VLOOKUP(A216,PACKINGLIST!A:H,4,0)</f>
        <v>2</v>
      </c>
      <c r="E216" s="35">
        <f>VLOOKUP(A216,PACKINGLIST!A:H,5,0)</f>
        <v>60</v>
      </c>
      <c r="F216" s="35">
        <f>VLOOKUP(A216,PACKINGLIST!A:H,6,0)</f>
        <v>120</v>
      </c>
      <c r="G216" s="35" t="str">
        <f>VLOOKUP(A216,PACKINGLIST!A:H,7,0)</f>
        <v>BAG</v>
      </c>
      <c r="H216" s="36">
        <v>0.2853</v>
      </c>
      <c r="I216" s="37">
        <f t="shared" si="32"/>
        <v>34.236</v>
      </c>
      <c r="J216" s="38">
        <f t="shared" si="33"/>
        <v>0</v>
      </c>
      <c r="K216" s="39"/>
      <c r="L216" s="3">
        <f t="shared" si="34"/>
        <v>0</v>
      </c>
      <c r="M216" s="3">
        <f t="shared" si="35"/>
        <v>0</v>
      </c>
    </row>
    <row r="217" s="3" customFormat="1" ht="14" customHeight="1" spans="1:13">
      <c r="A217" s="34">
        <f t="shared" si="36"/>
        <v>203</v>
      </c>
      <c r="B217" s="35">
        <f>VLOOKUP('USD INVOICE'!A217,PACKINGLIST!A:H,2,0)</f>
        <v>9048082</v>
      </c>
      <c r="C217" s="35" t="str">
        <f>VLOOKUP(A217,PACKINGLIST!A:I,3,0)</f>
        <v>WRAPPING PAPER 53*75CM_WP-1#</v>
      </c>
      <c r="D217" s="35">
        <f>VLOOKUP(A217,PACKINGLIST!A:H,4,0)</f>
        <v>6</v>
      </c>
      <c r="E217" s="35">
        <f>VLOOKUP(A217,PACKINGLIST!A:H,5,0)</f>
        <v>60</v>
      </c>
      <c r="F217" s="35">
        <f>VLOOKUP(A217,PACKINGLIST!A:H,6,0)</f>
        <v>360</v>
      </c>
      <c r="G217" s="35" t="str">
        <f>VLOOKUP(A217,PACKINGLIST!A:H,7,0)</f>
        <v>BAG</v>
      </c>
      <c r="H217" s="36">
        <v>0.2421</v>
      </c>
      <c r="I217" s="37">
        <f t="shared" si="32"/>
        <v>87.156</v>
      </c>
      <c r="J217" s="38">
        <f t="shared" si="33"/>
        <v>0</v>
      </c>
      <c r="K217" s="39"/>
      <c r="L217" s="3">
        <f t="shared" si="34"/>
        <v>0</v>
      </c>
      <c r="M217" s="3">
        <f t="shared" si="35"/>
        <v>0</v>
      </c>
    </row>
    <row r="218" s="3" customFormat="1" ht="14" customHeight="1" spans="1:13">
      <c r="A218" s="34">
        <f t="shared" si="36"/>
        <v>204</v>
      </c>
      <c r="B218" s="35">
        <f>VLOOKUP('USD INVOICE'!A218,PACKINGLIST!A:H,2,0)</f>
        <v>9048083</v>
      </c>
      <c r="C218" s="35" t="str">
        <f>VLOOKUP(A218,PACKINGLIST!A:I,3,0)</f>
        <v>WRAPPING PAPER 53*75CM_WP-2#</v>
      </c>
      <c r="D218" s="35">
        <f>VLOOKUP(A218,PACKINGLIST!A:H,4,0)</f>
        <v>3</v>
      </c>
      <c r="E218" s="35">
        <f>VLOOKUP(A218,PACKINGLIST!A:H,5,0)</f>
        <v>60</v>
      </c>
      <c r="F218" s="35">
        <f>VLOOKUP(A218,PACKINGLIST!A:H,6,0)</f>
        <v>180</v>
      </c>
      <c r="G218" s="35" t="str">
        <f>VLOOKUP(A218,PACKINGLIST!A:H,7,0)</f>
        <v>BAG</v>
      </c>
      <c r="H218" s="36">
        <v>0.2421</v>
      </c>
      <c r="I218" s="37">
        <f t="shared" si="32"/>
        <v>43.578</v>
      </c>
      <c r="J218" s="38">
        <f t="shared" si="33"/>
        <v>0</v>
      </c>
      <c r="K218" s="39"/>
      <c r="L218" s="3">
        <f t="shared" si="34"/>
        <v>0</v>
      </c>
      <c r="M218" s="3">
        <f t="shared" si="35"/>
        <v>0</v>
      </c>
    </row>
    <row r="219" s="3" customFormat="1" ht="14" customHeight="1" spans="1:13">
      <c r="A219" s="34">
        <f t="shared" si="36"/>
        <v>205</v>
      </c>
      <c r="B219" s="35">
        <f>VLOOKUP('USD INVOICE'!A219,PACKINGLIST!A:H,2,0)</f>
        <v>9048084</v>
      </c>
      <c r="C219" s="35" t="str">
        <f>VLOOKUP(A219,PACKINGLIST!A:I,3,0)</f>
        <v>WRAPPING PAPER 2PCS 70*100CM_WP-3#</v>
      </c>
      <c r="D219" s="35">
        <f>VLOOKUP(A219,PACKINGLIST!A:H,4,0)</f>
        <v>5</v>
      </c>
      <c r="E219" s="35">
        <f>VLOOKUP(A219,PACKINGLIST!A:H,5,0)</f>
        <v>60</v>
      </c>
      <c r="F219" s="35">
        <f>VLOOKUP(A219,PACKINGLIST!A:H,6,0)</f>
        <v>300</v>
      </c>
      <c r="G219" s="35" t="str">
        <f>VLOOKUP(A219,PACKINGLIST!A:H,7,0)</f>
        <v>BAG</v>
      </c>
      <c r="H219" s="36">
        <v>0.2666</v>
      </c>
      <c r="I219" s="37">
        <f t="shared" si="32"/>
        <v>79.98</v>
      </c>
      <c r="J219" s="38">
        <f t="shared" si="33"/>
        <v>0</v>
      </c>
      <c r="K219" s="39"/>
      <c r="L219" s="3">
        <f t="shared" si="34"/>
        <v>0</v>
      </c>
      <c r="M219" s="3">
        <f t="shared" si="35"/>
        <v>0</v>
      </c>
    </row>
    <row r="220" s="3" customFormat="1" ht="14" customHeight="1" spans="1:13">
      <c r="A220" s="34">
        <f t="shared" si="36"/>
        <v>206</v>
      </c>
      <c r="B220" s="35">
        <f>VLOOKUP('USD INVOICE'!A220,PACKINGLIST!A:H,2,0)</f>
        <v>9048085</v>
      </c>
      <c r="C220" s="35" t="str">
        <f>VLOOKUP(A220,PACKINGLIST!A:I,3,0)</f>
        <v>WRAPPING PAPER 2PCS 70*100CM_WP-4#</v>
      </c>
      <c r="D220" s="35">
        <f>VLOOKUP(A220,PACKINGLIST!A:H,4,0)</f>
        <v>4</v>
      </c>
      <c r="E220" s="35">
        <f>VLOOKUP(A220,PACKINGLIST!A:H,5,0)</f>
        <v>60</v>
      </c>
      <c r="F220" s="35">
        <f>VLOOKUP(A220,PACKINGLIST!A:H,6,0)</f>
        <v>240</v>
      </c>
      <c r="G220" s="35" t="str">
        <f>VLOOKUP(A220,PACKINGLIST!A:H,7,0)</f>
        <v>BAG</v>
      </c>
      <c r="H220" s="36">
        <v>0.281</v>
      </c>
      <c r="I220" s="37">
        <f t="shared" si="32"/>
        <v>67.44</v>
      </c>
      <c r="J220" s="38">
        <f t="shared" si="33"/>
        <v>0</v>
      </c>
      <c r="K220" s="39"/>
      <c r="L220" s="3">
        <f t="shared" si="34"/>
        <v>0</v>
      </c>
      <c r="M220" s="3">
        <f t="shared" si="35"/>
        <v>0</v>
      </c>
    </row>
    <row r="221" s="3" customFormat="1" ht="14" customHeight="1" spans="1:13">
      <c r="A221" s="34">
        <f t="shared" si="36"/>
        <v>207</v>
      </c>
      <c r="B221" s="35">
        <f>VLOOKUP('USD INVOICE'!A221,PACKINGLIST!A:H,2,0)</f>
        <v>9048086</v>
      </c>
      <c r="C221" s="35" t="str">
        <f>VLOOKUP(A221,PACKINGLIST!A:I,3,0)</f>
        <v>WRAPPING PAPER 2PCS 70*100CM_WP-5#</v>
      </c>
      <c r="D221" s="35">
        <f>VLOOKUP(A221,PACKINGLIST!A:H,4,0)</f>
        <v>5</v>
      </c>
      <c r="E221" s="35">
        <f>VLOOKUP(A221,PACKINGLIST!A:H,5,0)</f>
        <v>60</v>
      </c>
      <c r="F221" s="35">
        <f>VLOOKUP(A221,PACKINGLIST!A:H,6,0)</f>
        <v>300</v>
      </c>
      <c r="G221" s="35" t="str">
        <f>VLOOKUP(A221,PACKINGLIST!A:H,7,0)</f>
        <v>BAG</v>
      </c>
      <c r="H221" s="36">
        <v>0.281</v>
      </c>
      <c r="I221" s="37">
        <f t="shared" si="32"/>
        <v>84.3</v>
      </c>
      <c r="J221" s="38">
        <f t="shared" si="33"/>
        <v>0</v>
      </c>
      <c r="K221" s="39"/>
      <c r="L221" s="3">
        <f t="shared" si="34"/>
        <v>0</v>
      </c>
      <c r="M221" s="3">
        <f t="shared" si="35"/>
        <v>0</v>
      </c>
    </row>
    <row r="222" s="3" customFormat="1" ht="14" customHeight="1" spans="1:13">
      <c r="A222" s="34">
        <f t="shared" si="36"/>
        <v>208</v>
      </c>
      <c r="B222" s="35">
        <f>VLOOKUP('USD INVOICE'!A222,PACKINGLIST!A:H,2,0)</f>
        <v>9048087</v>
      </c>
      <c r="C222" s="35" t="str">
        <f>VLOOKUP(A222,PACKINGLIST!A:I,3,0)</f>
        <v>WRAPPING PAPER 2PCS 70*100CM_WP-6#</v>
      </c>
      <c r="D222" s="35">
        <f>VLOOKUP(A222,PACKINGLIST!A:H,4,0)</f>
        <v>5</v>
      </c>
      <c r="E222" s="35">
        <f>VLOOKUP(A222,PACKINGLIST!A:H,5,0)</f>
        <v>60</v>
      </c>
      <c r="F222" s="35">
        <f>VLOOKUP(A222,PACKINGLIST!A:H,6,0)</f>
        <v>300</v>
      </c>
      <c r="G222" s="35" t="str">
        <f>VLOOKUP(A222,PACKINGLIST!A:H,7,0)</f>
        <v>BAG</v>
      </c>
      <c r="H222" s="36">
        <v>0.281</v>
      </c>
      <c r="I222" s="37">
        <f t="shared" si="32"/>
        <v>84.3</v>
      </c>
      <c r="J222" s="38">
        <f t="shared" si="33"/>
        <v>0</v>
      </c>
      <c r="K222" s="39"/>
      <c r="L222" s="3">
        <f t="shared" si="34"/>
        <v>0</v>
      </c>
      <c r="M222" s="3">
        <f t="shared" si="35"/>
        <v>0</v>
      </c>
    </row>
    <row r="223" s="3" customFormat="1" ht="14" customHeight="1" spans="1:13">
      <c r="A223" s="34">
        <f t="shared" si="36"/>
        <v>209</v>
      </c>
      <c r="B223" s="35">
        <f>VLOOKUP('USD INVOICE'!A223,PACKINGLIST!A:H,2,0)</f>
        <v>9048089</v>
      </c>
      <c r="C223" s="35" t="str">
        <f>VLOOKUP(A223,PACKINGLIST!A:I,3,0)</f>
        <v>WRAPPING PAPER 2PCS 70*100CM_WP-8#</v>
      </c>
      <c r="D223" s="35">
        <f>VLOOKUP(A223,PACKINGLIST!A:H,4,0)</f>
        <v>5</v>
      </c>
      <c r="E223" s="35">
        <f>VLOOKUP(A223,PACKINGLIST!A:H,5,0)</f>
        <v>60</v>
      </c>
      <c r="F223" s="35">
        <f>VLOOKUP(A223,PACKINGLIST!A:H,6,0)</f>
        <v>300</v>
      </c>
      <c r="G223" s="35" t="str">
        <f>VLOOKUP(A223,PACKINGLIST!A:H,7,0)</f>
        <v>BAG</v>
      </c>
      <c r="H223" s="36">
        <v>0.281</v>
      </c>
      <c r="I223" s="37">
        <f t="shared" si="32"/>
        <v>84.3</v>
      </c>
      <c r="J223" s="38">
        <f t="shared" si="33"/>
        <v>0</v>
      </c>
      <c r="K223" s="39"/>
      <c r="L223" s="3">
        <f t="shared" si="34"/>
        <v>0</v>
      </c>
      <c r="M223" s="3">
        <f t="shared" si="35"/>
        <v>0</v>
      </c>
    </row>
    <row r="224" s="3" customFormat="1" ht="14" customHeight="1" spans="1:13">
      <c r="A224" s="34">
        <f t="shared" si="36"/>
        <v>210</v>
      </c>
      <c r="B224" s="35">
        <f>VLOOKUP('USD INVOICE'!A224,PACKINGLIST!A:H,2,0)</f>
        <v>9048755</v>
      </c>
      <c r="C224" s="35" t="str">
        <f>VLOOKUP(A224,PACKINGLIST!A:I,3,0)</f>
        <v>WRAPPING PAPER 53*75CM</v>
      </c>
      <c r="D224" s="35">
        <f>VLOOKUP(A224,PACKINGLIST!A:H,4,0)</f>
        <v>5</v>
      </c>
      <c r="E224" s="35">
        <f>VLOOKUP(A224,PACKINGLIST!A:H,5,0)</f>
        <v>60</v>
      </c>
      <c r="F224" s="35">
        <f>VLOOKUP(A224,PACKINGLIST!A:H,6,0)</f>
        <v>300</v>
      </c>
      <c r="G224" s="35" t="str">
        <f>VLOOKUP(A224,PACKINGLIST!A:H,7,0)</f>
        <v>BAG</v>
      </c>
      <c r="H224" s="36">
        <v>0.3141</v>
      </c>
      <c r="I224" s="37">
        <f t="shared" si="32"/>
        <v>94.23</v>
      </c>
      <c r="J224" s="38">
        <f t="shared" si="33"/>
        <v>0</v>
      </c>
      <c r="K224" s="39"/>
      <c r="L224" s="3">
        <f t="shared" si="34"/>
        <v>0</v>
      </c>
      <c r="M224" s="3">
        <f t="shared" si="35"/>
        <v>0</v>
      </c>
    </row>
    <row r="225" s="2" customFormat="1" ht="14" customHeight="1" spans="1:10">
      <c r="A225" s="28"/>
      <c r="B225" s="28"/>
      <c r="C225" s="46" t="s">
        <v>374</v>
      </c>
      <c r="D225" s="28">
        <f>SUM(D15:D224)</f>
        <v>1179</v>
      </c>
      <c r="E225" s="28"/>
      <c r="F225" s="28">
        <f>SUM(F15:F224)</f>
        <v>81926</v>
      </c>
      <c r="G225" s="28"/>
      <c r="H225" s="47"/>
      <c r="I225" s="47">
        <f>SUM(I15:I224)</f>
        <v>39682.1742</v>
      </c>
      <c r="J225" s="2">
        <f>SUM(J15:J224)</f>
        <v>0</v>
      </c>
    </row>
    <row r="226" s="2" customFormat="1" ht="12.75" spans="1:10">
      <c r="C226" s="48"/>
      <c r="H226" s="49"/>
      <c r="I226" s="49"/>
    </row>
    <row r="227" s="2" customFormat="1" ht="13.5" customHeight="1" spans="1:10">
      <c r="A227" s="50" t="s">
        <v>389</v>
      </c>
      <c r="B227" s="50"/>
      <c r="C227" s="50"/>
      <c r="D227" s="50"/>
      <c r="E227" s="50"/>
      <c r="F227" s="50"/>
      <c r="G227" s="50"/>
      <c r="H227" s="50"/>
      <c r="I227" s="50"/>
    </row>
    <row r="228" s="2" customFormat="1" ht="13.5" customHeight="1" spans="1:10">
      <c r="A228" s="50"/>
      <c r="B228" s="50"/>
      <c r="C228" s="50"/>
      <c r="D228" s="50"/>
      <c r="E228" s="50"/>
      <c r="F228" s="50"/>
      <c r="G228" s="50"/>
      <c r="H228" s="50"/>
      <c r="I228" s="50"/>
    </row>
    <row r="229" s="5" customFormat="1" ht="16.2" customHeight="1" spans="1:10">
      <c r="A229" s="51" t="s">
        <v>390</v>
      </c>
      <c r="B229" s="51"/>
      <c r="C229" s="51"/>
      <c r="D229" s="51"/>
      <c r="E229" s="51"/>
      <c r="F229" s="51"/>
      <c r="G229" s="51"/>
      <c r="H229" s="51"/>
      <c r="I229" s="52"/>
    </row>
    <row r="230" s="5" customFormat="1" ht="16.2" customHeight="1" spans="1:10">
      <c r="A230" s="51"/>
      <c r="B230" s="51"/>
      <c r="C230" s="51"/>
      <c r="D230" s="51"/>
      <c r="E230" s="51"/>
      <c r="F230" s="51"/>
      <c r="G230" s="51"/>
      <c r="H230" s="51"/>
      <c r="I230" s="52"/>
    </row>
    <row r="231" s="5" customFormat="1" ht="16.2" customHeight="1" spans="1:10">
      <c r="A231" s="51"/>
      <c r="B231" s="51"/>
      <c r="C231" s="51"/>
      <c r="D231" s="51"/>
      <c r="E231" s="51"/>
      <c r="F231" s="51"/>
      <c r="G231" s="51"/>
      <c r="H231" s="51"/>
      <c r="I231" s="52"/>
    </row>
    <row r="232" s="5" customFormat="1" ht="16.2" customHeight="1" spans="1:10">
      <c r="A232" s="51"/>
      <c r="B232" s="51"/>
      <c r="C232" s="51"/>
      <c r="D232" s="51"/>
      <c r="E232" s="51"/>
      <c r="F232" s="51"/>
      <c r="G232" s="51"/>
      <c r="H232" s="51"/>
      <c r="I232" s="52"/>
    </row>
    <row r="233" s="5" customFormat="1" ht="16.2" customHeight="1" spans="1:10">
      <c r="A233" s="51"/>
      <c r="B233" s="51"/>
      <c r="C233" s="51"/>
      <c r="D233" s="51"/>
      <c r="E233" s="51"/>
      <c r="F233" s="51"/>
      <c r="G233" s="51"/>
      <c r="H233" s="51"/>
      <c r="I233" s="52"/>
    </row>
    <row r="234" s="5" customFormat="1" ht="16.2" customHeight="1" spans="1:10">
      <c r="A234" s="51"/>
      <c r="B234" s="51"/>
      <c r="C234" s="51"/>
      <c r="D234" s="51"/>
      <c r="E234" s="51"/>
      <c r="F234" s="51"/>
      <c r="G234" s="51"/>
      <c r="H234" s="51"/>
      <c r="I234" s="52"/>
    </row>
    <row r="235" s="5" customFormat="1" ht="26" customHeight="1" spans="1:10">
      <c r="A235" s="51"/>
      <c r="B235" s="51"/>
      <c r="C235" s="51"/>
      <c r="D235" s="51"/>
      <c r="E235" s="51"/>
      <c r="F235" s="51"/>
      <c r="G235" s="51"/>
      <c r="H235" s="51"/>
      <c r="I235" s="52"/>
    </row>
    <row r="236" s="2" customFormat="1" ht="13.5" customHeight="1" spans="1:10">
      <c r="A236" s="50"/>
      <c r="B236" s="50"/>
      <c r="C236" s="50"/>
      <c r="D236" s="50"/>
      <c r="E236" s="50"/>
      <c r="F236" s="50"/>
      <c r="G236" s="50"/>
      <c r="H236" s="50"/>
      <c r="I236" s="50"/>
    </row>
    <row r="237" s="2" customFormat="1" ht="13.5" customHeight="1" spans="1:10">
      <c r="A237" s="50"/>
      <c r="B237" s="50"/>
      <c r="C237" s="50"/>
      <c r="D237" s="50"/>
      <c r="E237" s="50"/>
      <c r="F237" s="50"/>
      <c r="G237" s="50"/>
      <c r="H237" s="50"/>
      <c r="I237" s="50"/>
    </row>
    <row r="238" s="2" customFormat="1" ht="13.5" customHeight="1" spans="1:10">
      <c r="A238" s="50"/>
      <c r="B238" s="50"/>
      <c r="C238" s="50"/>
      <c r="D238" s="50"/>
      <c r="E238" s="50"/>
      <c r="F238" s="50"/>
      <c r="G238" s="50"/>
      <c r="H238" s="50"/>
      <c r="I238" s="50"/>
    </row>
    <row r="239" s="2" customFormat="1" ht="12.75" spans="1:10">
      <c r="C239" s="48"/>
      <c r="H239" s="49"/>
      <c r="I239" s="49"/>
    </row>
    <row r="240" s="2" customFormat="1" ht="12.75" spans="1:10">
      <c r="A240" s="53" t="s">
        <v>391</v>
      </c>
      <c r="C240" s="48"/>
      <c r="H240" s="49"/>
      <c r="I240" s="49"/>
      <c r="J240" s="49"/>
    </row>
    <row r="241" s="6" customFormat="1" ht="127" customHeight="1" spans="1:14">
      <c r="A241" s="20" t="s">
        <v>392</v>
      </c>
      <c r="B241" s="54"/>
      <c r="C241" s="54"/>
      <c r="D241" s="54"/>
      <c r="E241" s="54"/>
      <c r="F241" s="54"/>
      <c r="G241" s="54"/>
      <c r="H241" s="54"/>
      <c r="I241" s="54"/>
      <c r="J241" s="54"/>
      <c r="K241" s="7"/>
      <c r="L241" s="7"/>
      <c r="M241" s="7"/>
      <c r="N241" s="7"/>
    </row>
    <row r="242" ht="54.95" customHeight="1" spans="1:14">
      <c r="A242" s="25" t="s">
        <v>379</v>
      </c>
      <c r="B242" s="25"/>
      <c r="C242" s="25"/>
      <c r="D242" s="25"/>
      <c r="E242" s="25"/>
      <c r="F242" s="25"/>
      <c r="G242" s="25"/>
      <c r="H242" s="25"/>
      <c r="I242" s="25"/>
    </row>
  </sheetData>
  <autoFilter xmlns:etc="http://www.wps.cn/officeDocument/2017/etCustomData" ref="A14:M225" etc:filterBottomFollowUsedRange="0">
    <extLst/>
  </autoFilter>
  <mergeCells count="12">
    <mergeCell ref="A1:I1"/>
    <mergeCell ref="A2:I2"/>
    <mergeCell ref="B3:K3"/>
    <mergeCell ref="A5:B5"/>
    <mergeCell ref="G6:H6"/>
    <mergeCell ref="G7:H7"/>
    <mergeCell ref="A13:B13"/>
    <mergeCell ref="A227:I227"/>
    <mergeCell ref="A241:J241"/>
    <mergeCell ref="A242:I242"/>
    <mergeCell ref="A6:D10"/>
    <mergeCell ref="A229:H235"/>
  </mergeCells>
  <pageMargins left="0.471527777777778" right="0.393055555555556" top="0.432638888888889" bottom="0.354166666666667" header="0.118055555555556" footer="0.118055555555556"/>
  <pageSetup paperSize="9" scale="72" orientation="portrait"/>
  <headerFooter>
    <oddFooter>&amp;LPAGE &amp;P/&amp;N</oddFooter>
  </headerFooter>
  <drawing r:id="rId1"/>
</worksheet>
</file>

<file path=docProps/app.xml><?xml version="1.0" encoding="utf-8"?>
<Properties xmlns="http://schemas.openxmlformats.org/officeDocument/2006/extended-properties" xmlns:vt="http://schemas.openxmlformats.org/officeDocument/2006/docPropsVTypes">
  <Company>Hewlett-Packard Company</Company>
  <Application>Microsoft Excel</Application>
  <HeadingPairs>
    <vt:vector size="2" baseType="variant">
      <vt:variant>
        <vt:lpstr>工作表</vt:lpstr>
      </vt:variant>
      <vt:variant>
        <vt:i4>2</vt:i4>
      </vt:variant>
    </vt:vector>
  </HeadingPairs>
  <TitlesOfParts>
    <vt:vector size="2" baseType="lpstr">
      <vt:lpstr>PACKINGLIST</vt:lpstr>
      <vt:lpstr>USD INVOICE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Hewlett-Packard Company</dc:creator>
  <cp:lastModifiedBy>Lois</cp:lastModifiedBy>
  <dcterms:created xsi:type="dcterms:W3CDTF">2017-05-25T09:54:00Z</dcterms:created>
  <cp:lastPrinted>2019-10-28T03:27:00Z</cp:lastPrinted>
  <dcterms:modified xsi:type="dcterms:W3CDTF">2026-02-04T06:38:52Z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2052-12.1.0.24657</vt:lpwstr>
  </property>
  <property fmtid="{D5CDD505-2E9C-101B-9397-08002B2CF9AE}" pid="3" name="ICV">
    <vt:lpwstr>1742BA5DA89F4E96BDD799B83690BC0C</vt:lpwstr>
  </property>
  <property fmtid="{D5CDD505-2E9C-101B-9397-08002B2CF9AE}" pid="4" name="CalculationRule">
    <vt:i4>0</vt:i4>
  </property>
</Properties>
</file>