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INVOICE" sheetId="2" r:id="rId1"/>
  </sheets>
  <externalReferences>
    <externalReference r:id="rId2"/>
  </externalReferences>
  <definedNames>
    <definedName name="_xlnm.Print_Area" localSheetId="0">INVOICE!$A$1:$I$108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<sst xmlns="http://schemas.openxmlformats.org/spreadsheetml/2006/main" count="30" uniqueCount="27">
  <si>
    <t>LINYI HONGSHUN PORCELAIN CO.,LTD.</t>
  </si>
  <si>
    <t>XISHAN VILLAGE,LUOZHUANG DISTRICT, LINYI CITY,SHANDONG PROVINCE,CHINA.</t>
  </si>
  <si>
    <t>COMMERCIAL INVOICE</t>
  </si>
  <si>
    <t>INVOICE NO.:</t>
  </si>
  <si>
    <t>SPVH26-CYW0201(DIY-ASL)</t>
  </si>
  <si>
    <t>YIWU CHANXI IMPORT AND EXPORT CO., LTD.</t>
  </si>
  <si>
    <t>DATE:</t>
  </si>
  <si>
    <t xml:space="preserve">NO. 526, HUISHANG TIANDI, NO. 1505, </t>
  </si>
  <si>
    <t>CHOUZHOU NORTH ROAD, FUTIAN STREET,</t>
  </si>
  <si>
    <t xml:space="preserve">YIWU CITY, ZHEJIANG PROVINCE   </t>
  </si>
  <si>
    <t>1. The SALES MANAGER CHENG XIANG of Linyi Hongshun Porcelain Co.,Ltd.
2.I, the undersigned, certify that the 1319.6kg of the tableware and kitchenware sold to the trader YIWU CHANXI IMPORT AND EXPORT CO., LTD., covered by this invoice, was manufactured by our company Linyi Hongshun Porcelain Co.,Ltd.address is Xishan Village,Luozhuang District,Linyi City,Shandong Province,China.Additional code is 899C in the People's Republic of China.I declare that the information provided in this invoice is complete and correct. 
(3) Date, signature and stamp.</t>
  </si>
  <si>
    <t>Date: 3 FEB 2026</t>
  </si>
  <si>
    <t>NO.</t>
  </si>
  <si>
    <t>BAR CODE</t>
  </si>
  <si>
    <t>NAME OF PRODUCT</t>
  </si>
  <si>
    <t>TOTAL CTN</t>
  </si>
  <si>
    <t xml:space="preserve">QTTY/CTN </t>
  </si>
  <si>
    <t xml:space="preserve">TOTAL QTTY </t>
  </si>
  <si>
    <t>UNIT QTTY</t>
  </si>
  <si>
    <t>UNIT PRICE (USD)</t>
  </si>
  <si>
    <t>TOTAL GOODS AMT (USD)</t>
  </si>
  <si>
    <t>19CM SALAD PLATE  #HG1-FD100-S</t>
  </si>
  <si>
    <t>PCS</t>
  </si>
  <si>
    <t>27CM DINNER PLATE  #HG1-FD100-D</t>
  </si>
  <si>
    <t>TOTAL:</t>
  </si>
  <si>
    <t>BANK INFORMATION:</t>
  </si>
  <si>
    <t xml:space="preserve">BENEFICIARY NAME :LINYI HONGSHUN PORCELAIN CO.,LTD.                                                                                                                                                                                                         BENEFICIARY ADD :  XISHAN VILLAGE,LUOZHUANG DISTRICT,
 LINYI CITY,SHANDONG PROVINCE,CHINA.                                                                                                                                                                                                      BENEFICIARY BANK : CHINA CONSTRUCTION BANK HUNAN BRANCH                                                                                                                                                                                                                          ADD : NO . 2 BAISHA ROAD ,CHANGSHA CITY， HUNAN， P.R. CHINA.                                                                                                                                                                                                                                            BENEFICIARY A/C : 4305 0180 3736 0000 1112                                                                                                                                                                                                                                                                                               SWIFT CODE : PCBCCNBJHUX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</si>
</sst>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409]d/mmm/yyyy;@"/>
    <numFmt numFmtId="178" formatCode="#,##0.00_);[Red]\(#,##0.00\)"/>
  </numFmts>
  <fonts count="37">
    <font>
      <sz val="11"/>
      <color theme="1"/>
      <name val="等线"/>
      <charset val="134"/>
      <scheme val="minor"/>
    </font>
    <font>
      <sz val="11"/>
      <color theme="1"/>
      <name val="等线"/>
      <charset val="134"/>
    </font>
    <font>
      <b/>
      <sz val="22"/>
      <color theme="1"/>
      <name val="等线"/>
      <charset val="134"/>
    </font>
    <font>
      <b/>
      <u/>
      <sz val="24"/>
      <color theme="1"/>
      <name val="等线"/>
      <charset val="134"/>
    </font>
    <font>
      <b/>
      <sz val="10"/>
      <color theme="1"/>
      <name val="等线"/>
      <charset val="134"/>
    </font>
    <font>
      <b/>
      <sz val="11"/>
      <color theme="1"/>
      <name val="等线"/>
      <charset val="134"/>
    </font>
    <font>
      <sz val="12"/>
      <color theme="1"/>
      <name val="等线"/>
      <charset val="134"/>
    </font>
    <font>
      <b/>
      <sz val="11"/>
      <name val="等线"/>
      <charset val="134"/>
    </font>
    <font>
      <sz val="11"/>
      <name val="等线"/>
      <charset val="134"/>
    </font>
    <font>
      <sz val="11"/>
      <color rgb="FFFF0000"/>
      <name val="等线"/>
      <charset val="134"/>
    </font>
    <font>
      <sz val="12"/>
      <color rgb="FFFF0000"/>
      <name val="等线"/>
      <charset val="134"/>
    </font>
    <font>
      <b/>
      <sz val="10"/>
      <name val="Arial"/>
      <charset val="134"/>
    </font>
    <font>
      <sz val="10"/>
      <color theme="1"/>
      <name val="等线"/>
      <charset val="134"/>
    </font>
    <font>
      <sz val="9"/>
      <color theme="1"/>
      <name val="等线"/>
      <charset val="134"/>
    </font>
    <font>
      <sz val="9"/>
      <name val="等线"/>
      <charset val="134"/>
    </font>
    <font>
      <sz val="10"/>
      <color rgb="FFFF0000"/>
      <name val="等线"/>
      <charset val="134"/>
    </font>
    <font>
      <sz val="1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3"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4" borderId="6" applyNumberFormat="0" applyAlignment="0" applyProtection="0">
      <alignment vertical="center"/>
    </xf>
    <xf numFmtId="0" fontId="26" fillId="5" borderId="7" applyNumberFormat="0" applyAlignment="0" applyProtection="0">
      <alignment vertical="center"/>
    </xf>
    <xf numFmtId="0" fontId="27" fillId="5" borderId="6" applyNumberFormat="0" applyAlignment="0" applyProtection="0">
      <alignment vertical="center"/>
    </xf>
    <xf numFmtId="0" fontId="28" fillId="6"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0" fillId="0" borderId="0">
      <alignment vertical="center"/>
    </xf>
    <xf numFmtId="0" fontId="36" fillId="0" borderId="0"/>
  </cellStyleXfs>
  <cellXfs count="41">
    <xf numFmtId="0" fontId="0" fillId="0" borderId="0" xfId="0"/>
    <xf numFmtId="0" fontId="1" fillId="2" borderId="0" xfId="49" applyFont="1" applyFill="1">
      <alignment vertical="center"/>
    </xf>
    <xf numFmtId="0" fontId="1" fillId="2" borderId="0" xfId="49" applyFont="1" applyFill="1" applyAlignment="1">
      <alignment horizontal="left" vertical="center"/>
    </xf>
    <xf numFmtId="176" fontId="1" fillId="2" borderId="0" xfId="49" applyNumberFormat="1" applyFont="1" applyFill="1">
      <alignment vertical="center"/>
    </xf>
    <xf numFmtId="0" fontId="2" fillId="0" borderId="0" xfId="0" applyFont="1" applyAlignment="1">
      <alignment horizontal="center"/>
    </xf>
    <xf numFmtId="0" fontId="1" fillId="0" borderId="0" xfId="0" applyFont="1" applyAlignment="1">
      <alignment horizontal="center"/>
    </xf>
    <xf numFmtId="0" fontId="3" fillId="2" borderId="0" xfId="49" applyFont="1" applyFill="1" applyAlignment="1">
      <alignment horizontal="center" vertical="center"/>
    </xf>
    <xf numFmtId="0" fontId="4" fillId="2" borderId="0" xfId="49" applyFont="1" applyFill="1" applyAlignment="1">
      <alignment horizontal="center" vertical="center"/>
    </xf>
    <xf numFmtId="176" fontId="4" fillId="2" borderId="0" xfId="49" applyNumberFormat="1" applyFont="1" applyFill="1" applyAlignment="1">
      <alignment horizontal="center" vertical="center"/>
    </xf>
    <xf numFmtId="0" fontId="5" fillId="2" borderId="0" xfId="49" applyFont="1" applyFill="1" applyAlignment="1">
      <alignment horizontal="left" vertical="center" wrapText="1"/>
    </xf>
    <xf numFmtId="0" fontId="6" fillId="2" borderId="0" xfId="49" applyFont="1" applyFill="1">
      <alignment vertical="center"/>
    </xf>
    <xf numFmtId="176" fontId="1" fillId="2" borderId="0" xfId="49" applyNumberFormat="1" applyFont="1" applyFill="1" applyAlignment="1">
      <alignment horizontal="center" vertical="center"/>
    </xf>
    <xf numFmtId="0" fontId="7" fillId="2" borderId="0" xfId="49" applyFont="1" applyFill="1" applyAlignment="1">
      <alignment horizontal="left" vertical="center" wrapText="1"/>
    </xf>
    <xf numFmtId="0" fontId="8" fillId="2" borderId="0" xfId="49" applyFont="1" applyFill="1" applyAlignment="1">
      <alignment vertical="center" wrapText="1"/>
    </xf>
    <xf numFmtId="177" fontId="6" fillId="2" borderId="0" xfId="49" applyNumberFormat="1" applyFont="1" applyFill="1" applyAlignment="1">
      <alignment horizontal="left" vertical="center"/>
    </xf>
    <xf numFmtId="0" fontId="8" fillId="2" borderId="0" xfId="49" applyFont="1" applyFill="1" applyAlignment="1">
      <alignment horizontal="left" vertical="center" wrapText="1"/>
    </xf>
    <xf numFmtId="0" fontId="1" fillId="2" borderId="0" xfId="49" applyFont="1" applyFill="1" applyAlignment="1">
      <alignment horizontal="center" vertical="center"/>
    </xf>
    <xf numFmtId="0" fontId="9" fillId="2" borderId="0" xfId="49" applyFont="1" applyFill="1" applyAlignment="1">
      <alignment horizontal="right" vertical="center"/>
    </xf>
    <xf numFmtId="177" fontId="10" fillId="2" borderId="0" xfId="49" applyNumberFormat="1" applyFont="1" applyFill="1" applyAlignment="1">
      <alignment horizontal="left" vertical="center"/>
    </xf>
    <xf numFmtId="0" fontId="11" fillId="0" borderId="0" xfId="0" applyFont="1" applyAlignment="1">
      <alignment horizontal="left" vertical="top" wrapText="1"/>
    </xf>
    <xf numFmtId="0" fontId="7" fillId="0" borderId="0" xfId="49" applyFont="1" applyFill="1" applyAlignment="1">
      <alignment horizontal="left" vertical="center"/>
    </xf>
    <xf numFmtId="0" fontId="6" fillId="2" borderId="1" xfId="49" applyFont="1" applyFill="1" applyBorder="1" applyAlignment="1">
      <alignment horizontal="left" vertical="center"/>
    </xf>
    <xf numFmtId="0" fontId="6" fillId="2" borderId="0" xfId="49" applyFont="1" applyFill="1" applyAlignment="1">
      <alignment horizontal="left" vertical="center"/>
    </xf>
    <xf numFmtId="0" fontId="12" fillId="2" borderId="2" xfId="49" applyFont="1" applyFill="1" applyBorder="1" applyAlignment="1">
      <alignment horizontal="center" vertical="center"/>
    </xf>
    <xf numFmtId="0" fontId="12" fillId="2" borderId="2" xfId="50" applyFont="1" applyFill="1" applyBorder="1" applyAlignment="1">
      <alignment horizontal="center" vertical="center"/>
    </xf>
    <xf numFmtId="0" fontId="12" fillId="2" borderId="2" xfId="50" applyFont="1" applyFill="1" applyBorder="1" applyAlignment="1">
      <alignment horizontal="center" vertical="center" wrapText="1"/>
    </xf>
    <xf numFmtId="176" fontId="12" fillId="2" borderId="2" xfId="50" applyNumberFormat="1" applyFont="1" applyFill="1" applyBorder="1" applyAlignment="1">
      <alignment horizontal="center" vertical="center" wrapText="1"/>
    </xf>
    <xf numFmtId="0" fontId="12" fillId="0" borderId="2" xfId="49" applyFont="1" applyBorder="1" applyAlignment="1">
      <alignment horizontal="center" vertical="center" wrapText="1"/>
    </xf>
    <xf numFmtId="0" fontId="13" fillId="0" borderId="2" xfId="49" applyFont="1" applyBorder="1" applyAlignment="1">
      <alignment horizontal="center" vertical="center"/>
    </xf>
    <xf numFmtId="0" fontId="14" fillId="0" borderId="2" xfId="49" applyFont="1" applyBorder="1" applyAlignment="1">
      <alignment horizontal="center" vertical="center"/>
    </xf>
    <xf numFmtId="178" fontId="13" fillId="0" borderId="2" xfId="49" applyNumberFormat="1" applyFont="1" applyBorder="1" applyAlignment="1">
      <alignment horizontal="center" vertical="center"/>
    </xf>
    <xf numFmtId="0" fontId="12" fillId="2" borderId="2" xfId="49" applyFont="1" applyFill="1" applyBorder="1" applyAlignment="1">
      <alignment horizontal="left" vertical="center"/>
    </xf>
    <xf numFmtId="178" fontId="12" fillId="2" borderId="2" xfId="49" applyNumberFormat="1" applyFont="1" applyFill="1" applyBorder="1" applyAlignment="1">
      <alignment horizontal="center" vertical="center"/>
    </xf>
    <xf numFmtId="0" fontId="12" fillId="2" borderId="0" xfId="49" applyFont="1" applyFill="1" applyAlignment="1">
      <alignment horizontal="center" vertical="center"/>
    </xf>
    <xf numFmtId="0" fontId="12" fillId="2" borderId="0" xfId="49" applyFont="1" applyFill="1" applyAlignment="1">
      <alignment horizontal="left" vertical="center"/>
    </xf>
    <xf numFmtId="176" fontId="12" fillId="2" borderId="0" xfId="49" applyNumberFormat="1" applyFont="1" applyFill="1" applyAlignment="1">
      <alignment horizontal="center" vertical="center"/>
    </xf>
    <xf numFmtId="0" fontId="15" fillId="2" borderId="0" xfId="49" applyFont="1" applyFill="1" applyAlignment="1">
      <alignment horizontal="left" vertical="center"/>
    </xf>
    <xf numFmtId="0" fontId="16" fillId="2" borderId="0" xfId="49" applyFont="1" applyFill="1" applyAlignment="1">
      <alignment horizontal="left" vertical="center"/>
    </xf>
    <xf numFmtId="0" fontId="8" fillId="0" borderId="0" xfId="49" applyFont="1" applyAlignment="1">
      <alignment horizontal="left" vertical="center" wrapText="1"/>
    </xf>
    <xf numFmtId="0" fontId="8" fillId="0" borderId="0" xfId="49" applyFont="1" applyAlignment="1">
      <alignment horizontal="left" vertical="center"/>
    </xf>
    <xf numFmtId="0" fontId="1" fillId="2" borderId="0" xfId="49" applyFont="1" applyFill="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样式 1"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1790700</xdr:colOff>
      <xdr:row>16</xdr:row>
      <xdr:rowOff>158115</xdr:rowOff>
    </xdr:from>
    <xdr:to>
      <xdr:col>3</xdr:col>
      <xdr:colOff>452755</xdr:colOff>
      <xdr:row>25</xdr:row>
      <xdr:rowOff>201295</xdr:rowOff>
    </xdr:to>
    <xdr:pic>
      <xdr:nvPicPr>
        <xdr:cNvPr id="683" name="图片 682"/>
        <xdr:cNvPicPr>
          <a:picLocks noChangeAspect="1"/>
        </xdr:cNvPicPr>
      </xdr:nvPicPr>
      <xdr:blipFill>
        <a:blip r:embed="rId1"/>
        <a:stretch>
          <a:fillRect/>
        </a:stretch>
      </xdr:blipFill>
      <xdr:spPr>
        <a:xfrm>
          <a:off x="3111500" y="4252595"/>
          <a:ext cx="1905000" cy="2019300"/>
        </a:xfrm>
        <a:prstGeom prst="rect">
          <a:avLst/>
        </a:prstGeom>
        <a:noFill/>
        <a:ln w="9525">
          <a:noFill/>
        </a:ln>
      </xdr:spPr>
    </xdr:pic>
    <xdr:clientData/>
  </xdr:twoCellAnchor>
  <xdr:twoCellAnchor editAs="oneCell">
    <xdr:from>
      <xdr:col>4</xdr:col>
      <xdr:colOff>181610</xdr:colOff>
      <xdr:row>92</xdr:row>
      <xdr:rowOff>9525</xdr:rowOff>
    </xdr:from>
    <xdr:to>
      <xdr:col>6</xdr:col>
      <xdr:colOff>325755</xdr:colOff>
      <xdr:row>94</xdr:row>
      <xdr:rowOff>133350</xdr:rowOff>
    </xdr:to>
    <xdr:pic>
      <xdr:nvPicPr>
        <xdr:cNvPr id="682" name="图片 681"/>
        <xdr:cNvPicPr>
          <a:picLocks noChangeAspect="1"/>
        </xdr:cNvPicPr>
      </xdr:nvPicPr>
      <xdr:blipFill>
        <a:blip r:embed="rId1"/>
        <a:stretch>
          <a:fillRect/>
        </a:stretch>
      </xdr:blipFill>
      <xdr:spPr>
        <a:xfrm>
          <a:off x="5287010" y="19188430"/>
          <a:ext cx="1905000" cy="201930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Logistics\GT-%20Global%20Trade\GT-International\Controller\000_Costing\Spain\3.%20Shipping%20Docs\2025%20Shipping%20Docs\4.%20April\218.%20SPVH25-CYW0407(DIY-ASL)\SPVH25-CYW0407(DIY-ASL)%20PL%20INV.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USD INVOICE"/>
    </sheetNames>
    <sheetDataSet>
      <sheetData sheetId="0">
        <row r="5">
          <cell r="A5" t="str">
            <v>BUYER:</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792474135563"/>
  </sheetPr>
  <dimension ref="A1:I95"/>
  <sheetViews>
    <sheetView showGridLines="0" tabSelected="1" view="pageBreakPreview" zoomScaleNormal="100" topLeftCell="A76" workbookViewId="0">
      <selection activeCell="L91" sqref="L91"/>
    </sheetView>
  </sheetViews>
  <sheetFormatPr defaultColWidth="8.66666666666667" defaultRowHeight="14.25"/>
  <cols>
    <col min="1" max="1" width="6.33333333333333" style="1" customWidth="1"/>
    <col min="2" max="2" width="11" style="1" customWidth="1"/>
    <col min="3" max="3" width="42.5583333333333" style="2" customWidth="1"/>
    <col min="4" max="4" width="7.10833333333333" style="1" customWidth="1"/>
    <col min="5" max="5" width="10" style="1" customWidth="1"/>
    <col min="6" max="6" width="13.1083333333333" style="1" customWidth="1"/>
    <col min="7" max="7" width="11.8833333333333" style="1" customWidth="1"/>
    <col min="8" max="8" width="8.775" style="3" customWidth="1"/>
    <col min="9" max="9" width="11.6666666666667" style="3" customWidth="1"/>
    <col min="10" max="11" width="8.66666666666667" style="1"/>
    <col min="12" max="12" width="10.375" style="1"/>
    <col min="13" max="16384" width="8.66666666666667" style="1"/>
  </cols>
  <sheetData>
    <row r="1" ht="28.2" customHeight="1" spans="1:9">
      <c r="A1" s="4" t="s">
        <v>0</v>
      </c>
      <c r="B1" s="4"/>
      <c r="C1" s="4"/>
      <c r="D1" s="4"/>
      <c r="E1" s="4"/>
      <c r="F1" s="4"/>
      <c r="G1" s="4"/>
      <c r="H1" s="4"/>
      <c r="I1" s="4"/>
    </row>
    <row r="2" ht="22.2" customHeight="1" spans="1:9">
      <c r="A2" s="5" t="s">
        <v>1</v>
      </c>
      <c r="B2" s="5"/>
      <c r="C2" s="5"/>
      <c r="D2" s="5"/>
      <c r="E2" s="5"/>
      <c r="F2" s="5"/>
      <c r="G2" s="5"/>
      <c r="H2" s="5"/>
      <c r="I2" s="5"/>
    </row>
    <row r="3" s="1" customFormat="1" ht="65" customHeight="1" spans="1:9">
      <c r="B3" s="6" t="s">
        <v>2</v>
      </c>
      <c r="C3" s="6"/>
      <c r="D3" s="6"/>
      <c r="E3" s="6"/>
      <c r="F3" s="6"/>
      <c r="G3" s="6"/>
      <c r="H3" s="6"/>
      <c r="I3" s="6"/>
    </row>
    <row r="4" spans="1:9">
      <c r="B4" s="7"/>
      <c r="C4" s="7"/>
      <c r="D4" s="7"/>
      <c r="E4" s="7"/>
      <c r="F4" s="7"/>
      <c r="G4" s="7"/>
      <c r="H4" s="8"/>
      <c r="I4" s="8"/>
    </row>
    <row r="5" ht="15.75" spans="1:9">
      <c r="A5" s="9" t="str">
        <f>[1]PACKINGLIST!A5</f>
        <v>BUYER:</v>
      </c>
      <c r="B5" s="9"/>
      <c r="C5" s="1"/>
      <c r="F5" s="1" t="s">
        <v>3</v>
      </c>
      <c r="G5" s="10" t="s">
        <v>4</v>
      </c>
      <c r="I5" s="11"/>
    </row>
    <row r="6" ht="15.6" customHeight="1" spans="1:9">
      <c r="A6" s="12" t="s">
        <v>5</v>
      </c>
      <c r="B6" s="12"/>
      <c r="C6" s="12"/>
      <c r="D6" s="13"/>
      <c r="F6" s="2" t="s">
        <v>6</v>
      </c>
      <c r="G6" s="14">
        <v>46056</v>
      </c>
      <c r="H6" s="14"/>
      <c r="I6" s="11"/>
    </row>
    <row r="7" ht="16.2" customHeight="1" spans="1:9">
      <c r="A7" s="15" t="s">
        <v>7</v>
      </c>
      <c r="B7" s="15"/>
      <c r="C7" s="15"/>
      <c r="D7" s="13"/>
      <c r="E7" s="16"/>
      <c r="F7" s="17"/>
      <c r="G7" s="18"/>
      <c r="H7" s="18"/>
      <c r="I7" s="11"/>
    </row>
    <row r="8" ht="15.6" customHeight="1" spans="1:9">
      <c r="A8" s="15" t="s">
        <v>8</v>
      </c>
      <c r="B8" s="15"/>
      <c r="C8" s="15"/>
      <c r="D8" s="13"/>
      <c r="E8" s="16"/>
      <c r="F8" s="10"/>
      <c r="G8" s="10"/>
      <c r="H8" s="11"/>
      <c r="I8" s="11"/>
    </row>
    <row r="9" ht="16.2" customHeight="1" spans="1:9">
      <c r="A9" s="15" t="s">
        <v>9</v>
      </c>
      <c r="B9" s="15"/>
      <c r="C9" s="15"/>
      <c r="D9" s="13"/>
      <c r="E9" s="16"/>
      <c r="F9" s="10"/>
      <c r="G9" s="10"/>
      <c r="H9" s="11"/>
      <c r="I9" s="11"/>
    </row>
    <row r="10" ht="16.2" customHeight="1" spans="1:9">
      <c r="A10" s="15"/>
      <c r="B10" s="15"/>
      <c r="C10" s="15"/>
      <c r="D10" s="13"/>
      <c r="E10" s="16"/>
      <c r="F10" s="10"/>
      <c r="G10" s="10"/>
      <c r="H10" s="11"/>
      <c r="I10" s="11"/>
    </row>
    <row r="11" ht="16.2" customHeight="1" spans="1:9">
      <c r="A11" s="19" t="s">
        <v>10</v>
      </c>
      <c r="B11" s="19"/>
      <c r="C11" s="19"/>
      <c r="D11" s="19"/>
      <c r="E11" s="19"/>
      <c r="F11" s="19"/>
      <c r="G11" s="19"/>
      <c r="H11" s="19"/>
      <c r="I11" s="11"/>
    </row>
    <row r="12" ht="16.2" customHeight="1" spans="1:9">
      <c r="A12" s="19"/>
      <c r="B12" s="19"/>
      <c r="C12" s="19"/>
      <c r="D12" s="19"/>
      <c r="E12" s="19"/>
      <c r="F12" s="19"/>
      <c r="G12" s="19"/>
      <c r="H12" s="19"/>
      <c r="I12" s="11"/>
    </row>
    <row r="13" ht="16.2" customHeight="1" spans="1:9">
      <c r="A13" s="19"/>
      <c r="B13" s="19"/>
      <c r="C13" s="19"/>
      <c r="D13" s="19"/>
      <c r="E13" s="19"/>
      <c r="F13" s="19"/>
      <c r="G13" s="19"/>
      <c r="H13" s="19"/>
      <c r="I13" s="11"/>
    </row>
    <row r="14" ht="16.2" customHeight="1" spans="1:9">
      <c r="A14" s="19"/>
      <c r="B14" s="19"/>
      <c r="C14" s="19"/>
      <c r="D14" s="19"/>
      <c r="E14" s="19"/>
      <c r="F14" s="19"/>
      <c r="G14" s="19"/>
      <c r="H14" s="19"/>
      <c r="I14" s="11"/>
    </row>
    <row r="15" ht="16.2" customHeight="1" spans="1:9">
      <c r="A15" s="19"/>
      <c r="B15" s="19"/>
      <c r="C15" s="19"/>
      <c r="D15" s="19"/>
      <c r="E15" s="19"/>
      <c r="F15" s="19"/>
      <c r="G15" s="19"/>
      <c r="H15" s="19"/>
      <c r="I15" s="11"/>
    </row>
    <row r="16" ht="16.2" customHeight="1" spans="1:9">
      <c r="A16" s="19"/>
      <c r="B16" s="19"/>
      <c r="C16" s="19"/>
      <c r="D16" s="19"/>
      <c r="E16" s="19"/>
      <c r="F16" s="19"/>
      <c r="G16" s="19"/>
      <c r="H16" s="19"/>
      <c r="I16" s="11"/>
    </row>
    <row r="17" ht="26" customHeight="1" spans="1:9">
      <c r="A17" s="19"/>
      <c r="B17" s="19"/>
      <c r="C17" s="19"/>
      <c r="D17" s="19"/>
      <c r="E17" s="19"/>
      <c r="F17" s="19"/>
      <c r="G17" s="19"/>
      <c r="H17" s="19"/>
      <c r="I17" s="11"/>
    </row>
    <row r="18" ht="16.2" customHeight="1" spans="1:9">
      <c r="A18" s="15"/>
      <c r="B18" s="20" t="s">
        <v>11</v>
      </c>
      <c r="C18" s="15"/>
      <c r="D18" s="13"/>
      <c r="E18" s="16"/>
      <c r="F18" s="10"/>
      <c r="G18" s="10"/>
      <c r="H18" s="11"/>
      <c r="I18" s="11"/>
    </row>
    <row r="19" ht="16.2" customHeight="1" spans="1:9">
      <c r="A19" s="15"/>
      <c r="B19" s="15"/>
      <c r="C19" s="15"/>
      <c r="D19" s="13"/>
      <c r="E19" s="16"/>
      <c r="F19" s="10"/>
      <c r="G19" s="10"/>
      <c r="H19" s="11"/>
      <c r="I19" s="11"/>
    </row>
    <row r="20" ht="16.2" customHeight="1" spans="1:9">
      <c r="A20" s="15"/>
      <c r="B20" s="15"/>
      <c r="C20" s="15"/>
      <c r="D20" s="13"/>
      <c r="E20" s="16"/>
      <c r="F20" s="10"/>
      <c r="G20" s="10"/>
      <c r="H20" s="11"/>
      <c r="I20" s="11"/>
    </row>
    <row r="21" ht="16.2" customHeight="1" spans="1:9">
      <c r="A21" s="15"/>
      <c r="B21" s="15"/>
      <c r="C21" s="15"/>
      <c r="D21" s="13"/>
      <c r="E21" s="16"/>
      <c r="F21" s="10"/>
      <c r="G21" s="10"/>
      <c r="H21" s="11"/>
      <c r="I21" s="11"/>
    </row>
    <row r="22" ht="16.2" customHeight="1" spans="1:9">
      <c r="A22" s="15"/>
      <c r="B22" s="15"/>
      <c r="C22" s="15"/>
      <c r="D22" s="13"/>
      <c r="E22" s="16"/>
      <c r="F22" s="10"/>
      <c r="G22" s="10"/>
      <c r="H22" s="11"/>
      <c r="I22" s="11"/>
    </row>
    <row r="23" ht="16.2" customHeight="1" spans="1:9">
      <c r="A23" s="15"/>
      <c r="B23" s="15"/>
      <c r="C23" s="15"/>
      <c r="D23" s="13"/>
      <c r="E23" s="16"/>
      <c r="F23" s="10"/>
      <c r="G23" s="10"/>
      <c r="H23" s="11"/>
      <c r="I23" s="11"/>
    </row>
    <row r="24" ht="16.2" customHeight="1" spans="1:9">
      <c r="A24" s="15"/>
      <c r="B24" s="15"/>
      <c r="C24" s="15"/>
      <c r="D24" s="13"/>
      <c r="E24" s="16"/>
      <c r="F24" s="10"/>
      <c r="G24" s="10"/>
      <c r="H24" s="11"/>
      <c r="I24" s="11"/>
    </row>
    <row r="25" ht="16.2" customHeight="1" spans="1:9">
      <c r="A25" s="15"/>
      <c r="B25" s="15"/>
      <c r="C25" s="15"/>
      <c r="D25" s="13"/>
      <c r="E25" s="16"/>
      <c r="F25" s="10"/>
      <c r="G25" s="10"/>
      <c r="H25" s="11"/>
      <c r="I25" s="11"/>
    </row>
    <row r="26" ht="16.2" customHeight="1" spans="1:9">
      <c r="A26" s="15"/>
      <c r="B26" s="15"/>
      <c r="C26" s="15"/>
      <c r="D26" s="13"/>
      <c r="E26" s="16"/>
      <c r="F26" s="10"/>
      <c r="G26" s="10"/>
      <c r="H26" s="11"/>
      <c r="I26" s="11"/>
    </row>
    <row r="27" ht="16.2" customHeight="1" spans="1:9">
      <c r="A27" s="15"/>
      <c r="B27" s="15"/>
      <c r="C27" s="15"/>
      <c r="D27" s="13"/>
      <c r="E27" s="16"/>
      <c r="F27" s="10"/>
      <c r="G27" s="10"/>
      <c r="H27" s="11"/>
      <c r="I27" s="11"/>
    </row>
    <row r="81" ht="27.75" spans="1:9">
      <c r="A81" s="4" t="s">
        <v>0</v>
      </c>
      <c r="B81" s="4"/>
      <c r="C81" s="4"/>
      <c r="D81" s="4"/>
      <c r="E81" s="4"/>
      <c r="F81" s="4"/>
      <c r="G81" s="4"/>
      <c r="H81" s="4"/>
      <c r="I81" s="4"/>
    </row>
    <row r="82" s="1" customFormat="1" ht="27.75" spans="1:9">
      <c r="A82" s="4"/>
      <c r="B82" s="4"/>
      <c r="C82" s="4"/>
      <c r="D82" s="4"/>
      <c r="E82" s="4"/>
      <c r="F82" s="4"/>
      <c r="G82" s="4"/>
      <c r="H82" s="4"/>
      <c r="I82" s="4"/>
    </row>
    <row r="83" spans="1:9">
      <c r="A83" s="5" t="s">
        <v>1</v>
      </c>
      <c r="B83" s="5"/>
      <c r="C83" s="5"/>
      <c r="D83" s="5"/>
      <c r="E83" s="5"/>
      <c r="F83" s="5"/>
      <c r="G83" s="5"/>
      <c r="H83" s="5"/>
      <c r="I83" s="5"/>
    </row>
    <row r="84" ht="15.75" spans="1:9">
      <c r="A84" s="21"/>
      <c r="B84" s="21"/>
      <c r="C84" s="1"/>
      <c r="F84" s="22"/>
      <c r="G84" s="22"/>
      <c r="I84" s="11"/>
    </row>
    <row r="85" ht="25.5" customHeight="1" spans="1:9">
      <c r="A85" s="23" t="s">
        <v>12</v>
      </c>
      <c r="B85" s="24" t="s">
        <v>13</v>
      </c>
      <c r="C85" s="23" t="s">
        <v>14</v>
      </c>
      <c r="D85" s="25" t="s">
        <v>15</v>
      </c>
      <c r="E85" s="25" t="s">
        <v>16</v>
      </c>
      <c r="F85" s="25" t="s">
        <v>17</v>
      </c>
      <c r="G85" s="25" t="s">
        <v>18</v>
      </c>
      <c r="H85" s="26" t="s">
        <v>19</v>
      </c>
      <c r="I85" s="27" t="s">
        <v>20</v>
      </c>
    </row>
    <row r="86" ht="25.5" customHeight="1" spans="1:9">
      <c r="A86" s="28">
        <v>1</v>
      </c>
      <c r="B86" s="29">
        <v>6001503</v>
      </c>
      <c r="C86" s="29" t="s">
        <v>21</v>
      </c>
      <c r="D86" s="29">
        <v>68</v>
      </c>
      <c r="E86" s="29">
        <v>24</v>
      </c>
      <c r="F86" s="29">
        <v>1632</v>
      </c>
      <c r="G86" s="29" t="s">
        <v>22</v>
      </c>
      <c r="H86" s="30">
        <v>0.67</v>
      </c>
      <c r="I86" s="30">
        <f>F86*H86</f>
        <v>1093.44</v>
      </c>
    </row>
    <row r="87" ht="25.5" customHeight="1" spans="1:9">
      <c r="A87" s="28">
        <v>2</v>
      </c>
      <c r="B87" s="29">
        <v>6001502</v>
      </c>
      <c r="C87" s="29" t="s">
        <v>23</v>
      </c>
      <c r="D87" s="29">
        <v>36</v>
      </c>
      <c r="E87" s="29">
        <v>24</v>
      </c>
      <c r="F87" s="29">
        <v>864</v>
      </c>
      <c r="G87" s="29" t="s">
        <v>22</v>
      </c>
      <c r="H87" s="30">
        <v>1.1888</v>
      </c>
      <c r="I87" s="30">
        <f>F87*H87</f>
        <v>1027.1232</v>
      </c>
    </row>
    <row r="88" ht="25.5" customHeight="1" spans="1:9">
      <c r="A88" s="23"/>
      <c r="B88" s="23"/>
      <c r="C88" s="31" t="s">
        <v>24</v>
      </c>
      <c r="D88" s="23">
        <f>SUM(D86:D87)</f>
        <v>104</v>
      </c>
      <c r="E88" s="23"/>
      <c r="F88" s="23">
        <f>SUM(F86:F87)</f>
        <v>2496</v>
      </c>
      <c r="G88" s="23"/>
      <c r="H88" s="32"/>
      <c r="I88" s="32">
        <f>SUM(I86:I87)</f>
        <v>2120.5632</v>
      </c>
    </row>
    <row r="89" spans="1:9">
      <c r="A89" s="33"/>
      <c r="B89" s="33"/>
      <c r="C89" s="34"/>
      <c r="D89" s="33"/>
      <c r="E89" s="33"/>
      <c r="F89" s="33"/>
      <c r="G89" s="33"/>
      <c r="H89" s="35"/>
      <c r="I89" s="35"/>
    </row>
    <row r="90" spans="1:9">
      <c r="A90" s="36"/>
      <c r="B90" s="33"/>
      <c r="C90" s="34"/>
      <c r="D90" s="33"/>
      <c r="E90" s="33"/>
      <c r="F90" s="33"/>
      <c r="G90" s="33"/>
      <c r="H90" s="35"/>
      <c r="I90" s="35"/>
    </row>
    <row r="91" spans="1:9">
      <c r="A91" s="33"/>
      <c r="B91" s="33"/>
      <c r="C91" s="34"/>
      <c r="D91" s="33"/>
      <c r="E91" s="33"/>
      <c r="F91" s="33"/>
      <c r="G91" s="33"/>
      <c r="H91" s="35"/>
      <c r="I91" s="35"/>
    </row>
    <row r="92" spans="1:9">
      <c r="A92" s="37" t="s">
        <v>25</v>
      </c>
      <c r="B92" s="33"/>
      <c r="C92" s="34"/>
      <c r="D92" s="33"/>
      <c r="E92" s="33"/>
      <c r="F92" s="33"/>
      <c r="G92" s="33"/>
      <c r="H92" s="35"/>
      <c r="I92" s="35"/>
    </row>
    <row r="93" ht="135" customHeight="1" spans="1:9">
      <c r="A93" s="38" t="s">
        <v>26</v>
      </c>
      <c r="B93" s="39"/>
      <c r="C93" s="39"/>
      <c r="D93" s="39"/>
      <c r="E93" s="39"/>
      <c r="F93" s="39"/>
      <c r="G93" s="39"/>
      <c r="H93" s="39"/>
      <c r="I93" s="39"/>
    </row>
    <row r="95" spans="1:9">
      <c r="A95" s="40"/>
      <c r="B95" s="40"/>
      <c r="C95" s="40"/>
      <c r="D95" s="40"/>
      <c r="E95" s="40"/>
      <c r="F95" s="40"/>
      <c r="G95" s="40"/>
      <c r="H95" s="40"/>
      <c r="I95" s="40"/>
    </row>
  </sheetData>
  <mergeCells count="16">
    <mergeCell ref="A1:I1"/>
    <mergeCell ref="A2:I2"/>
    <mergeCell ref="B3:I3"/>
    <mergeCell ref="A5:B5"/>
    <mergeCell ref="A6:C6"/>
    <mergeCell ref="G6:H6"/>
    <mergeCell ref="A7:C7"/>
    <mergeCell ref="G7:H7"/>
    <mergeCell ref="A8:C8"/>
    <mergeCell ref="A9:C9"/>
    <mergeCell ref="A81:I81"/>
    <mergeCell ref="A83:I83"/>
    <mergeCell ref="A84:B84"/>
    <mergeCell ref="A93:I93"/>
    <mergeCell ref="A95:I95"/>
    <mergeCell ref="A11:H17"/>
  </mergeCells>
  <pageMargins left="0.471527777777778" right="0.393055555555556" top="0.432638888888889" bottom="0.354166666666667" header="0.118055555555556" footer="0.118055555555556"/>
  <pageSetup paperSize="9" scale="72" orientation="portrait"/>
  <headerFooter>
    <oddFooter>&amp;LPAGE &amp;P/&amp;N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INVOICE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Howard Lee</dc:creator>
  <cp:lastModifiedBy>Lois</cp:lastModifiedBy>
  <dcterms:created xsi:type="dcterms:W3CDTF">2025-07-04T01:24:00Z</dcterms:created>
  <dcterms:modified xsi:type="dcterms:W3CDTF">2026-02-04T06:21:58Z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AD40AF88D77647B1890E6591F975D4BF_12</vt:lpwstr>
  </property>
  <property fmtid="{D5CDD505-2E9C-101B-9397-08002B2CF9AE}" pid="4" name="CalculationRule">
    <vt:i4>0</vt:i4>
  </property>
</Properties>
</file>