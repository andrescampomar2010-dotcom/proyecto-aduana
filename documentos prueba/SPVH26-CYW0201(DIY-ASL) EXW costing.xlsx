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USD COSTING" sheetId="2" r:id="rId1"/>
  </sheets>
  <definedNames>
    <definedName name="_xlnm._FilterDatabase" localSheetId="0" hidden="1">'USD COSTING'!$A$4:$S$215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<sst xmlns="http://schemas.openxmlformats.org/spreadsheetml/2006/main" count="228" uniqueCount="228">
  <si>
    <t>COSTING:SPVH26-CYW0201(DIY-ASL)</t>
  </si>
  <si>
    <t>CONTAINER:CSGU6171906</t>
  </si>
  <si>
    <t>EXW PRICE</t>
  </si>
  <si>
    <t>CIF PRICE</t>
  </si>
  <si>
    <t>ITEM NO</t>
  </si>
  <si>
    <t>BARCODE</t>
  </si>
  <si>
    <t>NAME OF PRODUCT</t>
  </si>
  <si>
    <t>TOTAL CTN</t>
  </si>
  <si>
    <t>QTY/CTN (PCS)</t>
  </si>
  <si>
    <t>TOTAL QTY (PCS) 
(5)</t>
  </si>
  <si>
    <t xml:space="preserve">UNIT PRICE (USD) </t>
  </si>
  <si>
    <t>TOTAL AMT (USD)
 (1)</t>
  </si>
  <si>
    <r>
      <rPr>
        <b/>
        <sz val="11"/>
        <color rgb="FFFF0000"/>
        <rFont val="Calibri"/>
        <charset val="134"/>
      </rPr>
      <t>Cube(CBM</t>
    </r>
    <r>
      <rPr>
        <b/>
        <sz val="11"/>
        <color rgb="FFFF0000"/>
        <rFont val="宋体"/>
        <charset val="134"/>
      </rPr>
      <t>）</t>
    </r>
  </si>
  <si>
    <t>O/F 
(2)</t>
  </si>
  <si>
    <t>insurance</t>
  </si>
  <si>
    <t>CN HDLG FEE 
(3)</t>
  </si>
  <si>
    <t xml:space="preserve">TOTAL AMT (USD) 
(1+2+3+4) </t>
  </si>
  <si>
    <t>UNIT PRICE  (USD) 
(1+2+3+4)/(5)</t>
  </si>
  <si>
    <t>WINE GIFT BAG (KRAFT) 12*39*9CM</t>
  </si>
  <si>
    <t>WINE GIFT BAG (KRAFT) 18*36*8.5CM</t>
  </si>
  <si>
    <t>PAPER BAG 33*25.5*12.5#</t>
  </si>
  <si>
    <t>PAPER BAG 32*25.5*11#</t>
  </si>
  <si>
    <t>PAPER BAG 45*31*19CM</t>
  </si>
  <si>
    <t>PAPER BAG - M 27*19*9CM</t>
  </si>
  <si>
    <t>PAPER BAG - L 37*27.8*10CM</t>
  </si>
  <si>
    <t>CAR NECK SUPPORT -SG0208</t>
  </si>
  <si>
    <t>CAR NECK SUPPORT -SG0210</t>
  </si>
  <si>
    <t>CAR LUMBAR SUPPORT -SG0211</t>
  </si>
  <si>
    <t>MEMORY FOAM HEAD REST -EM022HS</t>
  </si>
  <si>
    <t>ANTI SLIP MAT -EM058</t>
  </si>
  <si>
    <t>CAR DOOR SEAL STRIP -EM059</t>
  </si>
  <si>
    <t>CAR SEAT GAP ORGANISER -EM068</t>
  </si>
  <si>
    <t>STEERING COVER -EC007</t>
  </si>
  <si>
    <t>MINI HORSE KEYCHAIN 6*19CM_YS0106#</t>
  </si>
  <si>
    <t>ORNAMENT (CAT)_BS0109-07#</t>
  </si>
  <si>
    <t>ORNAMENT (VEGE)_BS0106-07#</t>
  </si>
  <si>
    <t>ORNAMENT (PANDA)_BS0095-07#</t>
  </si>
  <si>
    <t>ORNAMENT (FISHING)_BS0114-07#</t>
  </si>
  <si>
    <t>ORNAMENT (HEDGEHOG)_BS0122-07#</t>
  </si>
  <si>
    <t>KITCHEN TOWEL #3827</t>
  </si>
  <si>
    <t>POP BALL PEN BLK 0.7MM_2197825-3#</t>
  </si>
  <si>
    <t>COLOR FILLING BOOK</t>
  </si>
  <si>
    <t xml:space="preserve">SINK SIEVE JM8042# </t>
  </si>
  <si>
    <t>SEWING KIT 5090#</t>
  </si>
  <si>
    <t>S/S SINK GARBAGE STRAINER 8047</t>
  </si>
  <si>
    <t>SEWING KIT 0525#</t>
  </si>
  <si>
    <t>WASHBASIN B5015#32*11CM</t>
  </si>
  <si>
    <t>WASHBASIN 008# 32*11CM</t>
  </si>
  <si>
    <t>STORAGE BASKET 34.5*26.5*10CM #5066</t>
  </si>
  <si>
    <t>HAIR BAND 4PCS B-3611-23#</t>
  </si>
  <si>
    <t>HAIR BAND 12PCS 5CM B-3611-24#</t>
  </si>
  <si>
    <t>COLOR RUBBER BAND 38*1.7MM</t>
  </si>
  <si>
    <t>SCOURING SPONGE 3S #TP-717</t>
  </si>
  <si>
    <t xml:space="preserve">RUBBER BANDS 100G (YELLOW) </t>
  </si>
  <si>
    <t>SPONGE MESH F004-4S</t>
  </si>
  <si>
    <t>SCOURING BALL 1S #TP-712</t>
  </si>
  <si>
    <t>COSMETIC POUCH 15*6*11CM #YN-1589</t>
  </si>
  <si>
    <t>SPONGE WH27659*16A-Q*16R-Q</t>
  </si>
  <si>
    <t>SCOURING PAD WITH HANDLE #SD01-28-1</t>
  </si>
  <si>
    <t>NOTEBOOK 12.8*9CM 2 PCS_FSGS022#</t>
  </si>
  <si>
    <t>FLOOR MAT 150*180CM 150180#</t>
  </si>
  <si>
    <t>DISPLAY CASE FRAME 20*20CM_9860#</t>
  </si>
  <si>
    <t>CUSHION (SQUARE)1894#</t>
  </si>
  <si>
    <t>PHOTO FRAME 6" 14.7*19.7CM_PS06#</t>
  </si>
  <si>
    <t>PHOTO FRAME 7" 17.7*22.7CM_PS07#</t>
  </si>
  <si>
    <t>PHOTO FRAME 6" 10*15CM_M06#</t>
  </si>
  <si>
    <t>PHOTO FRAME 7" 13*18CM_M07#</t>
  </si>
  <si>
    <t>METAL PHOTO FRAME 6" 10.3*15.5CM_W06#</t>
  </si>
  <si>
    <t>METAL PHOTO FRAME 3IN1 SET 13*18CM_R07#</t>
  </si>
  <si>
    <t>METAL CANDLE HOLDER (S) 8*8*16CM#</t>
  </si>
  <si>
    <t>DECO MARBLE PLATE 31*5*30CM#</t>
  </si>
  <si>
    <t>2IN1 CEMENT CANDLE HOLDER 11*5.5*10.5CM#</t>
  </si>
  <si>
    <t>CERAMIC VASE 11.3*11.3*10.4CM#</t>
  </si>
  <si>
    <t>CERAMIC VASE 11*11*20.5CM#</t>
  </si>
  <si>
    <t>ROUND METAL SIDETABLE 35*35*46.5CM#</t>
  </si>
  <si>
    <t>COSMETIC BAG YN-1811# 16*8*19CM</t>
  </si>
  <si>
    <t>COSMETIC BAG 727-50# 23.5*7.5*15.5CM</t>
  </si>
  <si>
    <t>SCOURING BALL 2S #TP-713</t>
  </si>
  <si>
    <t>TRAVELLING BAG 2358-574#</t>
  </si>
  <si>
    <t>COSMETIC BAG 2485-335#</t>
  </si>
  <si>
    <t>COSMETIC BAG 2609-903#</t>
  </si>
  <si>
    <t>COSMETIC BAG 2610-903#</t>
  </si>
  <si>
    <t>COSMETIC POUCH 21*12*13CM &amp;13*0.5*11CM</t>
  </si>
  <si>
    <t>COSMETIC BAG YX-1346-2W3167# 21*6*12.5CM</t>
  </si>
  <si>
    <t>COSMETIC BAG 727-41# 23*7*16.5CM</t>
  </si>
  <si>
    <t>COSMETICS BAG 860-504#</t>
  </si>
  <si>
    <t>SCOURING PAD 3S #NS23001</t>
  </si>
  <si>
    <t>SCOURING PAD 10S #SD10-02</t>
  </si>
  <si>
    <t>WOODEN PEN HOLDER 10*9*7.3CM_MZ-365#</t>
  </si>
  <si>
    <t>HAIR TIE (PANDA) PD003#</t>
  </si>
  <si>
    <t>HAIR SCRUNCHIE (PANDA) PD004#</t>
  </si>
  <si>
    <t>SLEEPING EYE MASK (PLAIN)</t>
  </si>
  <si>
    <t>LAUNDRY BASKET 40*50CM</t>
  </si>
  <si>
    <t>STORAGE BASKET  35*40CM 3MP LARGE</t>
  </si>
  <si>
    <t>LAUNDRY BASKET 40X50CM #LEAF 2MP</t>
  </si>
  <si>
    <t>CHENILLE GLOVE -C24630 31CM*22CM</t>
  </si>
  <si>
    <t>CHENILLE GLOVE -C24635 22CM*29CM</t>
  </si>
  <si>
    <t>A5 NOTEBOOK LK7014#</t>
  </si>
  <si>
    <t>A5 NOTEBOOK LK5024#</t>
  </si>
  <si>
    <t>NOTEBOOK SET LK5054#</t>
  </si>
  <si>
    <t>A4 NOTEPAD LK5034#</t>
  </si>
  <si>
    <t>PIN SET_Flo-18#</t>
  </si>
  <si>
    <t>NOTEBOOK A5_Flo-07#</t>
  </si>
  <si>
    <t>GIFT BAG  34*34*12CM_23-5#</t>
  </si>
  <si>
    <t>GIFT BAG 18*23*10CM_GB24-1201#</t>
  </si>
  <si>
    <t>GIFT BAG 25.4*30.5*12.7CM_GB24-1203#</t>
  </si>
  <si>
    <t>GIFT BAG 18*23*10CM_GB24-1202#</t>
  </si>
  <si>
    <t>GIFT BAG 25.4*30.5*12.7CM_GB24-1204#</t>
  </si>
  <si>
    <t>GIFT BAG 37*29.5*12CM_GB24-1205#</t>
  </si>
  <si>
    <t>GIFT BAG  31*40*12CM_GB24-1206#</t>
  </si>
  <si>
    <t>SCOURING PAD 10S #SD10-48</t>
  </si>
  <si>
    <t>WHITEBOARD MARKER PEN  4PCS C-218#</t>
  </si>
  <si>
    <t>WHITEBOARD MARKER PEN 8PCS 600-8#</t>
  </si>
  <si>
    <t>HIGHLIGHTER 4S 106#</t>
  </si>
  <si>
    <t>WHITEBOARD MARKER PEN SET_8006#</t>
  </si>
  <si>
    <t>WHITE BOARD MARKER SET 8858</t>
  </si>
  <si>
    <t>RUBBER BANDS 50TPR 100G 3MM</t>
  </si>
  <si>
    <t>MIRROR TRAY DECO 22.5*22.5CM_T1053#</t>
  </si>
  <si>
    <t>WALL SHELF PP BOARD 39.8*15 T4015#</t>
  </si>
  <si>
    <t>PHOTO FRAME KS059# 8*10INCH</t>
  </si>
  <si>
    <t>WOODEN CLIP SET_MZ-369#</t>
  </si>
  <si>
    <t>WOODEN CLIP SET_MZ-370#</t>
  </si>
  <si>
    <t>WOOD CLIP-36PCS</t>
  </si>
  <si>
    <t>WHITE BOARD SET 25*35CM_HTY005#</t>
  </si>
  <si>
    <t>WHITE BOARD SET 30*40CM_HTY006#</t>
  </si>
  <si>
    <t>DAILY PLANNER WHITEBOARD 45*60CM*VS</t>
  </si>
  <si>
    <t>WHITE &amp; BLACK BOARD25*35CM_HTY-21E03#</t>
  </si>
  <si>
    <t>WHITE BOARD 30*40CM_HTY-21E04#</t>
  </si>
  <si>
    <t>WHITE&amp;BLACK BOARD 35*50CM</t>
  </si>
  <si>
    <t>MP SCREEN MAGNIFIER BT-72#</t>
  </si>
  <si>
    <t>ROTATING JEWELLERY BOX BT-79#</t>
  </si>
  <si>
    <t>IVY GRIP TAPE BT-007#</t>
  </si>
  <si>
    <t>TUMMY TRIMMER BT-050#</t>
  </si>
  <si>
    <t>COSMETIC BOX BT-034#</t>
  </si>
  <si>
    <t>WALL MOUNTED  TOILET BRUSH</t>
  </si>
  <si>
    <t>KITCHEN SOAP DISPENSER BT-76#</t>
  </si>
  <si>
    <t>RESISTANCE BANDS BT-84#</t>
  </si>
  <si>
    <t>KITCHEN ADHESIVE TAPE BT101#3.8CM*2M</t>
  </si>
  <si>
    <t>OIL SPLASH GUARD BT-103#</t>
  </si>
  <si>
    <t>OIL SPLASH GUARD BT-102#</t>
  </si>
  <si>
    <t>SPOON REST 201#</t>
  </si>
  <si>
    <t>MULTIPURPOSE STORAGE BOX WITH COVER 216#</t>
  </si>
  <si>
    <t>DRAWER DIVIDER 211#</t>
  </si>
  <si>
    <t>IVY GRIP TAPE 6M 226#</t>
  </si>
  <si>
    <t>MULTIPURPOSE FOLDING BOX 217#</t>
  </si>
  <si>
    <t>HANDS FREE X-SHAPED MOP BT-268#</t>
  </si>
  <si>
    <t>FLAT MOP- WITH SPRAYER BT-251#</t>
  </si>
  <si>
    <t>STORAGE BOX 36*8.3*10.8CM #BT-404</t>
  </si>
  <si>
    <t>NECK PILLOW #BT-402</t>
  </si>
  <si>
    <t>CABLE ORGANIZER 3PCS #BT-399</t>
  </si>
  <si>
    <t>STORAGE BOX #BT-415</t>
  </si>
  <si>
    <t>FOOT ROLLER #BT-417</t>
  </si>
  <si>
    <t>MOP W/WATER SPRAYER</t>
  </si>
  <si>
    <t>INSOLES*VS</t>
  </si>
  <si>
    <t>COSMETIC HOLDER 7686#</t>
  </si>
  <si>
    <t>FACIAL CLEANING BRUSH 4235#</t>
  </si>
  <si>
    <t>COSMETIC RACK 1708#</t>
  </si>
  <si>
    <t>MAGNETIC W.BOARD 25003-19U03#25.5*15.5CM</t>
  </si>
  <si>
    <t>RUBBER BANDS 30TPR 100G  3MM</t>
  </si>
  <si>
    <t>GLASS CANISTER SET 1300ML #50817-2</t>
  </si>
  <si>
    <t>RUBBER BAND 400*5MM</t>
  </si>
  <si>
    <t>MEN BELT 3.7*120CM B-003#</t>
  </si>
  <si>
    <t>ARTIFICIAL FLOWERS 7H HJYZ782404T11#*VS</t>
  </si>
  <si>
    <t>ARTIFICIAL FLOWERS 7H DLH782405T13#</t>
  </si>
  <si>
    <t>ARTIFICIAL CARNATION 9H 46CM_KNX#</t>
  </si>
  <si>
    <t>19CM SALAD PLATE  #HG1-FD100-S</t>
  </si>
  <si>
    <t>27CM DINNER PLATE  #HG1-FD100-D</t>
  </si>
  <si>
    <t>SCOURING PAD 3S #SD3-38</t>
  </si>
  <si>
    <t>SPIRAL PLANNER_FSGS019#</t>
  </si>
  <si>
    <t>EVA STICKER 20PCS_FSGS061#</t>
  </si>
  <si>
    <t>NETWORK PLIERS MULTIFUNCTIONAL SET 33225</t>
  </si>
  <si>
    <t>RATCHET HANDLE WRENCH 1/2" 33099</t>
  </si>
  <si>
    <t>PLIERS EYELET 150MM WILLOW NAILS 33135</t>
  </si>
  <si>
    <t>BOLT CUTTER MINI 200MM 8" 33137</t>
  </si>
  <si>
    <t>CUTTER SET 2S 9364655</t>
  </si>
  <si>
    <t>WIRE BRUSH SET 7' 3S 9363510</t>
  </si>
  <si>
    <t>GLUE STICK 1.1*20CM 6PCS</t>
  </si>
  <si>
    <t>SUPER GLUE 8G 2708644</t>
  </si>
  <si>
    <t>COMBINATION LOCK 30MM 9367777</t>
  </si>
  <si>
    <t>PADLOCK 40MM 9367721</t>
  </si>
  <si>
    <t>COATED PADLOCK 33MM 9367706</t>
  </si>
  <si>
    <t>TAPE MEASURE 3M 2308905</t>
  </si>
  <si>
    <t>ELECTRICIAN'S SCISSORS 140MM 9364303</t>
  </si>
  <si>
    <t>WIRE PLIERS 6IN 9363601</t>
  </si>
  <si>
    <t>ADJUSTABLE ROLLER WRENCH 6IN 9363576</t>
  </si>
  <si>
    <t>ADJUSTABLE ROLLLER WRENCH 10IN 9363578</t>
  </si>
  <si>
    <t>DIAMOND DISC 115MM</t>
  </si>
  <si>
    <t>SUPER GLUE 2G 4S 2708642</t>
  </si>
  <si>
    <t>WALL PLUG 6MM 100S 9368170</t>
  </si>
  <si>
    <t>PADLOCK 47MM 9367753</t>
  </si>
  <si>
    <t>PAINT BRUSH 3PCS 9369220</t>
  </si>
  <si>
    <t>PAINT ROLLER 9IN PO EU  9369280</t>
  </si>
  <si>
    <t>TORX STAR ALLEN KEYS SET 9S 9363632</t>
  </si>
  <si>
    <t>AXE WITH WOODEN HANDLE 600G 9367665</t>
  </si>
  <si>
    <t>ADJUSTABLE WRENCH 8IN 9363577</t>
  </si>
  <si>
    <t>DOUBLE OPEN END WRENCH SET 6S 9363766</t>
  </si>
  <si>
    <t>S/S FLEXI HOSE 1.5M</t>
  </si>
  <si>
    <t>S/S FLEXI HOSE 1.8M</t>
  </si>
  <si>
    <t>PAINT ROLLER 10IN PO EU  9369287</t>
  </si>
  <si>
    <t>CAULKING GUN 310MM 9364526</t>
  </si>
  <si>
    <t>CAULKING GUN 350MM 9364549</t>
  </si>
  <si>
    <t xml:space="preserve">BIRTHDAY HAT </t>
  </si>
  <si>
    <t>BLIND BOX-CAPYBARA FY0554#</t>
  </si>
  <si>
    <t>BLIND BOX-GLOW TURTLE FY0862#</t>
  </si>
  <si>
    <t>BLIND BOX-GLOW TEAPOT DOLL FY0858#</t>
  </si>
  <si>
    <t>BLIND BOX-SHEEP FY0856#</t>
  </si>
  <si>
    <t>BLIND BOX-CHEESE DOLL FY0872#</t>
  </si>
  <si>
    <t>BLIND BOX-RABBIT LIZ DOLL FY0557#</t>
  </si>
  <si>
    <t>BLIND BOX-KIKI DOLL FY0721#</t>
  </si>
  <si>
    <t>BLIND BOX-GLOW FRUIT DOLL FY0867#</t>
  </si>
  <si>
    <t>PARTY B'DAY CROWN</t>
  </si>
  <si>
    <t>RC GLOSSY PHOTO PAPER A4 260G_JR-3001-3#</t>
  </si>
  <si>
    <t>G.STICKY PHOTO PAPER A4 135G_JS-3007-1#</t>
  </si>
  <si>
    <t>BATTERY SENSOR LIGHT BMSL2202</t>
  </si>
  <si>
    <t>WRAPPING PAPER 1PC_53*75CM F1_201102#</t>
  </si>
  <si>
    <t>WRAPPING PAPER 1PC_53*75CM F1_201103#</t>
  </si>
  <si>
    <t>WRAPPING PAPER 2IN1_70*100CM F1_201104#</t>
  </si>
  <si>
    <t>WRAPPING PAPER 2IN1_70*100CM F1_201106#</t>
  </si>
  <si>
    <t>WRAPPING PAPER 2IN1_70*100CM F1_201107#</t>
  </si>
  <si>
    <t>WRAPPING PAPER 5IN1 51*75CM</t>
  </si>
  <si>
    <t>WRAPPING PAPER 53*75CM_WP-1#</t>
  </si>
  <si>
    <t>WRAPPING PAPER 53*75CM_WP-2#</t>
  </si>
  <si>
    <t>WRAPPING PAPER 2PCS 70*100CM_WP-3#</t>
  </si>
  <si>
    <t>WRAPPING PAPER 2PCS 70*100CM_WP-4#</t>
  </si>
  <si>
    <t>WRAPPING PAPER 2PCS 70*100CM_WP-5#</t>
  </si>
  <si>
    <t>WRAPPING PAPER 2PCS 70*100CM_WP-6#</t>
  </si>
  <si>
    <t>WRAPPING PAPER 2PCS 70*100CM_WP-8#</t>
  </si>
  <si>
    <t>WRAPPING PAPER 53*75CM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</si>
</sst>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_ "/>
    <numFmt numFmtId="178" formatCode="0.00_ "/>
    <numFmt numFmtId="179" formatCode="#,##0.00_);[Red]\(#,##0.00\)"/>
  </numFmts>
  <fonts count="36">
    <font>
      <sz val="11"/>
      <color theme="1"/>
      <name val="等线"/>
      <charset val="134"/>
      <scheme val="minor"/>
    </font>
    <font>
      <sz val="11"/>
      <color theme="1"/>
      <name val="Microsoft YaHei Light"/>
      <charset val="134"/>
    </font>
    <font>
      <sz val="11"/>
      <color rgb="FF000000"/>
      <name val="Microsoft YaHei Light"/>
      <charset val="134"/>
    </font>
    <font>
      <sz val="9"/>
      <name val="Microsoft YaHei Light"/>
      <charset val="134"/>
    </font>
    <font>
      <b/>
      <sz val="11"/>
      <color rgb="FF000000"/>
      <name val="Calibri"/>
      <charset val="1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sz val="11"/>
      <name val="Calibri"/>
      <charset val="134"/>
    </font>
    <font>
      <sz val="11"/>
      <name val="Microsoft YaHei Light"/>
      <charset val="134"/>
    </font>
    <font>
      <sz val="11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Times New Roman"/>
      <charset val="134"/>
    </font>
    <font>
      <sz val="10"/>
      <color theme="1"/>
      <name val="Times New Roman"/>
      <charset val="134"/>
    </font>
    <font>
      <sz val="9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indexed="8"/>
      <name val="Arial"/>
      <charset val="134"/>
    </font>
    <font>
      <b/>
      <sz val="11"/>
      <color rgb="FFFF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90133365886"/>
        <bgColor rgb="FFDEEAF6"/>
      </patternFill>
    </fill>
    <fill>
      <patternFill patternType="solid">
        <fgColor rgb="FFFFFF00"/>
        <bgColor rgb="FFDEEAF6"/>
      </patternFill>
    </fill>
    <fill>
      <patternFill patternType="solid">
        <fgColor theme="0"/>
        <bgColor rgb="FFDEEAF6"/>
      </patternFill>
    </fill>
    <fill>
      <patternFill patternType="solid">
        <fgColor theme="4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25" fillId="10" borderId="9" applyNumberFormat="0" applyAlignment="0" applyProtection="0">
      <alignment vertical="center"/>
    </xf>
    <xf numFmtId="0" fontId="26" fillId="11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</cellStyleXfs>
  <cellXfs count="49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horizontal="center" vertical="center" wrapText="1"/>
    </xf>
    <xf numFmtId="2" fontId="7" fillId="5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6" fontId="5" fillId="6" borderId="1" xfId="0" applyNumberFormat="1" applyFont="1" applyFill="1" applyBorder="1" applyAlignment="1">
      <alignment horizontal="center" vertical="center" wrapText="1"/>
    </xf>
    <xf numFmtId="4" fontId="5" fillId="6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177" fontId="10" fillId="4" borderId="3" xfId="0" applyNumberFormat="1" applyFont="1" applyFill="1" applyBorder="1" applyAlignment="1">
      <alignment horizontal="center" vertical="center" wrapText="1"/>
    </xf>
    <xf numFmtId="176" fontId="10" fillId="4" borderId="4" xfId="0" applyNumberFormat="1" applyFont="1" applyFill="1" applyBorder="1" applyAlignment="1">
      <alignment horizontal="center" vertical="center" wrapText="1"/>
    </xf>
    <xf numFmtId="178" fontId="10" fillId="4" borderId="3" xfId="0" applyNumberFormat="1" applyFont="1" applyFill="1" applyBorder="1" applyAlignment="1">
      <alignment horizontal="center" vertical="center" wrapText="1"/>
    </xf>
    <xf numFmtId="178" fontId="8" fillId="0" borderId="3" xfId="0" applyNumberFormat="1" applyFont="1" applyBorder="1" applyAlignment="1">
      <alignment horizontal="center" vertical="center"/>
    </xf>
    <xf numFmtId="178" fontId="8" fillId="2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179" fontId="13" fillId="2" borderId="1" xfId="0" applyNumberFormat="1" applyFont="1" applyFill="1" applyBorder="1" applyAlignment="1">
      <alignment horizontal="center" vertical="center"/>
    </xf>
    <xf numFmtId="40" fontId="11" fillId="7" borderId="3" xfId="0" applyNumberFormat="1" applyFont="1" applyFill="1" applyBorder="1" applyAlignment="1">
      <alignment horizontal="center" vertical="center"/>
    </xf>
    <xf numFmtId="178" fontId="12" fillId="0" borderId="3" xfId="0" applyNumberFormat="1" applyFont="1" applyBorder="1" applyAlignment="1">
      <alignment horizontal="center" vertical="center" wrapText="1"/>
    </xf>
    <xf numFmtId="2" fontId="14" fillId="2" borderId="1" xfId="0" applyNumberFormat="1" applyFont="1" applyFill="1" applyBorder="1" applyAlignment="1">
      <alignment horizontal="center" vertical="center"/>
    </xf>
    <xf numFmtId="40" fontId="14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4" xfId="49"/>
    <cellStyle name="Normal 7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5"/>
  <sheetViews>
    <sheetView tabSelected="1" workbookViewId="0">
      <pane ySplit="5" topLeftCell="A202" activePane="bottomLeft" state="frozen"/>
      <selection/>
      <selection pane="bottomLeft" activeCell="J1" sqref="J$1:N$1048576"/>
    </sheetView>
  </sheetViews>
  <sheetFormatPr defaultColWidth="14.425" defaultRowHeight="16.5"/>
  <cols>
    <col min="1" max="1" width="5" style="5" customWidth="1"/>
    <col min="2" max="2" width="12" style="5" customWidth="1"/>
    <col min="3" max="3" width="31.425" style="5" customWidth="1"/>
    <col min="4" max="4" width="8.85" style="5" customWidth="1"/>
    <col min="5" max="5" width="11" style="5" customWidth="1"/>
    <col min="6" max="6" width="15.425" style="6" customWidth="1"/>
    <col min="7" max="7" width="13.2833333333333" style="5" customWidth="1"/>
    <col min="8" max="8" width="15.2833333333333" style="7" customWidth="1"/>
    <col min="9" max="9" width="11.85" style="8" customWidth="1"/>
    <col min="10" max="10" width="11.85" style="8" hidden="1" customWidth="1"/>
    <col min="11" max="11" width="11.85" style="9" hidden="1" customWidth="1"/>
    <col min="12" max="12" width="13.2833333333333" style="10" hidden="1" customWidth="1"/>
    <col min="13" max="13" width="17.425" style="10" hidden="1" customWidth="1"/>
    <col min="14" max="14" width="14.85" style="10" hidden="1" customWidth="1"/>
    <col min="15" max="19" width="9" style="10" customWidth="1"/>
    <col min="20" max="16384" width="14.425" style="10"/>
  </cols>
  <sheetData>
    <row r="1" ht="15.75" customHeight="1" spans="1:19">
      <c r="C1" s="11"/>
      <c r="L1" s="5"/>
      <c r="M1" s="5"/>
      <c r="N1" s="5"/>
      <c r="O1" s="5"/>
      <c r="P1" s="5"/>
      <c r="Q1" s="5"/>
      <c r="R1" s="5"/>
      <c r="S1" s="5"/>
    </row>
    <row r="2" spans="1:19">
      <c r="A2" s="12" t="s">
        <v>0</v>
      </c>
      <c r="B2" s="12"/>
      <c r="C2" s="12"/>
      <c r="D2" s="12" t="s">
        <v>1</v>
      </c>
      <c r="E2" s="12"/>
      <c r="F2" s="12"/>
      <c r="G2" s="13"/>
      <c r="H2" s="14"/>
      <c r="I2" s="15"/>
      <c r="J2" s="15"/>
      <c r="K2" s="16"/>
      <c r="L2" s="13"/>
      <c r="M2" s="13"/>
      <c r="N2" s="13"/>
      <c r="O2" s="5"/>
      <c r="P2" s="5"/>
      <c r="Q2" s="5"/>
      <c r="R2" s="5"/>
      <c r="S2" s="5"/>
    </row>
    <row r="3" s="1" customFormat="1" ht="18" customHeight="1" spans="1:19">
      <c r="A3" s="17"/>
      <c r="B3" s="17"/>
      <c r="C3" s="17"/>
      <c r="D3" s="17"/>
      <c r="E3" s="17"/>
      <c r="F3" s="17"/>
      <c r="G3" s="18" t="s">
        <v>2</v>
      </c>
      <c r="H3" s="18"/>
      <c r="I3" s="19"/>
      <c r="J3" s="19"/>
      <c r="K3" s="20"/>
      <c r="L3" s="20"/>
      <c r="M3" s="18" t="s">
        <v>3</v>
      </c>
      <c r="N3" s="18"/>
      <c r="O3" s="21"/>
      <c r="P3" s="21"/>
      <c r="Q3" s="21"/>
      <c r="R3" s="21"/>
    </row>
    <row r="4" s="2" customFormat="1" ht="30" spans="1:19">
      <c r="A4" s="22" t="s">
        <v>4</v>
      </c>
      <c r="B4" s="22" t="s">
        <v>5</v>
      </c>
      <c r="C4" s="22" t="s">
        <v>6</v>
      </c>
      <c r="D4" s="22" t="s">
        <v>7</v>
      </c>
      <c r="E4" s="22" t="s">
        <v>8</v>
      </c>
      <c r="F4" s="23" t="s">
        <v>9</v>
      </c>
      <c r="G4" s="24" t="s">
        <v>10</v>
      </c>
      <c r="H4" s="25" t="s">
        <v>11</v>
      </c>
      <c r="I4" s="26" t="s">
        <v>12</v>
      </c>
      <c r="J4" s="27" t="s">
        <v>13</v>
      </c>
      <c r="K4" s="27" t="s">
        <v>14</v>
      </c>
      <c r="L4" s="27" t="s">
        <v>15</v>
      </c>
      <c r="M4" s="28" t="s">
        <v>16</v>
      </c>
      <c r="N4" s="29" t="s">
        <v>17</v>
      </c>
      <c r="O4" s="30"/>
      <c r="P4" s="30"/>
      <c r="Q4" s="30"/>
      <c r="R4" s="30"/>
    </row>
    <row r="5" s="3" customFormat="1" spans="1:19">
      <c r="A5" s="31"/>
      <c r="B5" s="31"/>
      <c r="C5" s="31"/>
      <c r="D5" s="32">
        <f>SUM(D6:D215)</f>
        <v>1179</v>
      </c>
      <c r="E5" s="31"/>
      <c r="F5" s="32">
        <f>SUM(F6:F215)</f>
        <v>81926</v>
      </c>
      <c r="G5" s="33"/>
      <c r="H5" s="34">
        <f>SUM(H6:H215)</f>
        <v>39682.1742</v>
      </c>
      <c r="I5" s="34">
        <f>SUM(I6:I215)</f>
        <v>64.755301</v>
      </c>
      <c r="J5" s="34">
        <v>3125</v>
      </c>
      <c r="K5" s="35">
        <f>H5*0.00021</f>
        <v>8.333256582</v>
      </c>
      <c r="L5" s="36">
        <v>1432.42</v>
      </c>
      <c r="M5" s="37">
        <f>SUM(M6:M215)</f>
        <v>44247.927456582</v>
      </c>
      <c r="N5" s="38"/>
      <c r="O5" s="39"/>
      <c r="P5" s="39"/>
      <c r="Q5" s="39"/>
      <c r="R5" s="39"/>
    </row>
    <row r="6" s="4" customFormat="1" ht="26.1" customHeight="1" spans="1:19">
      <c r="A6" s="40">
        <v>1</v>
      </c>
      <c r="B6" s="41">
        <v>9049006</v>
      </c>
      <c r="C6" s="41" t="s">
        <v>18</v>
      </c>
      <c r="D6" s="41">
        <v>3</v>
      </c>
      <c r="E6" s="42">
        <v>360</v>
      </c>
      <c r="F6" s="42">
        <v>1080</v>
      </c>
      <c r="G6" s="43">
        <v>0.1153</v>
      </c>
      <c r="H6" s="44">
        <f>G6*F6</f>
        <v>124.524</v>
      </c>
      <c r="I6" s="45">
        <v>0.24192</v>
      </c>
      <c r="J6" s="46">
        <f>I6/$I$5*$J$5</f>
        <v>11.6747198812341</v>
      </c>
      <c r="K6" s="46">
        <f>H6/$H$5*$K$5</f>
        <v>0.02615004</v>
      </c>
      <c r="L6" s="46">
        <f>H6/$H$5*$L$5</f>
        <v>4.49498223512158</v>
      </c>
      <c r="M6" s="47">
        <f>N6*F6</f>
        <v>140.719852156356</v>
      </c>
      <c r="N6" s="46">
        <f>SUM(H6+J6+K6+L6)/F6</f>
        <v>0.130296159404033</v>
      </c>
      <c r="O6" s="48"/>
      <c r="P6" s="48"/>
      <c r="Q6" s="48"/>
      <c r="R6" s="48"/>
    </row>
    <row r="7" s="4" customFormat="1" ht="26.1" customHeight="1" spans="1:19">
      <c r="A7" s="40">
        <v>2</v>
      </c>
      <c r="B7" s="41">
        <v>9049007</v>
      </c>
      <c r="C7" s="41" t="s">
        <v>19</v>
      </c>
      <c r="D7" s="41">
        <v>1</v>
      </c>
      <c r="E7" s="42">
        <v>240</v>
      </c>
      <c r="F7" s="42">
        <v>240</v>
      </c>
      <c r="G7" s="43">
        <v>0.1354</v>
      </c>
      <c r="H7" s="44">
        <f t="shared" ref="H7:H70" si="0">G7*F7</f>
        <v>32.496</v>
      </c>
      <c r="I7" s="45">
        <v>0.07106</v>
      </c>
      <c r="J7" s="46">
        <f t="shared" ref="J7:J70" si="1">I7/$I$5*$J$5</f>
        <v>3.42925593072295</v>
      </c>
      <c r="K7" s="46">
        <f t="shared" ref="K7:K70" si="2">H7/$H$5*$K$5</f>
        <v>0.00682416</v>
      </c>
      <c r="L7" s="46">
        <f t="shared" ref="L7:L70" si="3">H7/$H$5*$L$5</f>
        <v>1.17301839575111</v>
      </c>
      <c r="M7" s="47">
        <f t="shared" ref="M7:M70" si="4">N7*F7</f>
        <v>37.1050984864741</v>
      </c>
      <c r="N7" s="46">
        <f t="shared" ref="N7:N70" si="5">SUM(H7+J7+K7+L7)/F7</f>
        <v>0.154604577026975</v>
      </c>
      <c r="O7" s="48"/>
      <c r="P7" s="48"/>
      <c r="Q7" s="48"/>
      <c r="R7" s="48"/>
    </row>
    <row r="8" s="4" customFormat="1" ht="26.1" customHeight="1" spans="1:19">
      <c r="A8" s="40">
        <v>3</v>
      </c>
      <c r="B8" s="41">
        <v>9046201</v>
      </c>
      <c r="C8" s="41" t="s">
        <v>20</v>
      </c>
      <c r="D8" s="41">
        <v>1</v>
      </c>
      <c r="E8" s="42">
        <v>240</v>
      </c>
      <c r="F8" s="42">
        <v>240</v>
      </c>
      <c r="G8" s="43">
        <v>0.1801</v>
      </c>
      <c r="H8" s="44">
        <f t="shared" si="0"/>
        <v>43.224</v>
      </c>
      <c r="I8" s="45">
        <v>0.077</v>
      </c>
      <c r="J8" s="46">
        <f t="shared" si="1"/>
        <v>3.7159119992354</v>
      </c>
      <c r="K8" s="46">
        <f t="shared" si="2"/>
        <v>0.00907704</v>
      </c>
      <c r="L8" s="46">
        <f t="shared" si="3"/>
        <v>1.56027040675609</v>
      </c>
      <c r="M8" s="47">
        <f t="shared" si="4"/>
        <v>48.5092594459915</v>
      </c>
      <c r="N8" s="46">
        <f t="shared" si="5"/>
        <v>0.202121914358298</v>
      </c>
      <c r="O8" s="48"/>
      <c r="P8" s="48"/>
      <c r="Q8" s="48"/>
      <c r="R8" s="48"/>
    </row>
    <row r="9" s="4" customFormat="1" ht="26.1" customHeight="1" spans="1:19">
      <c r="A9" s="40">
        <v>4</v>
      </c>
      <c r="B9" s="41">
        <v>9046203</v>
      </c>
      <c r="C9" s="41" t="s">
        <v>21</v>
      </c>
      <c r="D9" s="41">
        <v>1</v>
      </c>
      <c r="E9" s="42">
        <v>240</v>
      </c>
      <c r="F9" s="42">
        <v>240</v>
      </c>
      <c r="G9" s="43">
        <v>0.1801</v>
      </c>
      <c r="H9" s="44">
        <f t="shared" si="0"/>
        <v>43.224</v>
      </c>
      <c r="I9" s="45">
        <v>0.077</v>
      </c>
      <c r="J9" s="46">
        <f t="shared" si="1"/>
        <v>3.7159119992354</v>
      </c>
      <c r="K9" s="46">
        <f t="shared" si="2"/>
        <v>0.00907704</v>
      </c>
      <c r="L9" s="46">
        <f t="shared" si="3"/>
        <v>1.56027040675609</v>
      </c>
      <c r="M9" s="47">
        <f t="shared" si="4"/>
        <v>48.5092594459915</v>
      </c>
      <c r="N9" s="46">
        <f t="shared" si="5"/>
        <v>0.202121914358298</v>
      </c>
      <c r="O9" s="48"/>
      <c r="P9" s="48"/>
      <c r="Q9" s="48"/>
      <c r="R9" s="48"/>
    </row>
    <row r="10" s="4" customFormat="1" ht="26.1" customHeight="1" spans="1:19">
      <c r="A10" s="40">
        <v>5</v>
      </c>
      <c r="B10" s="41">
        <v>9046512</v>
      </c>
      <c r="C10" s="41" t="s">
        <v>22</v>
      </c>
      <c r="D10" s="41">
        <v>5</v>
      </c>
      <c r="E10" s="42">
        <v>144</v>
      </c>
      <c r="F10" s="42">
        <v>720</v>
      </c>
      <c r="G10" s="43">
        <v>0.281</v>
      </c>
      <c r="H10" s="44">
        <f t="shared" si="0"/>
        <v>202.32</v>
      </c>
      <c r="I10" s="45">
        <v>0.34357</v>
      </c>
      <c r="J10" s="46">
        <f t="shared" si="1"/>
        <v>16.5802063061988</v>
      </c>
      <c r="K10" s="46">
        <f t="shared" si="2"/>
        <v>0.0424872</v>
      </c>
      <c r="L10" s="46">
        <f t="shared" si="3"/>
        <v>7.30320906660402</v>
      </c>
      <c r="M10" s="47">
        <f t="shared" si="4"/>
        <v>226.245902572803</v>
      </c>
      <c r="N10" s="46">
        <f t="shared" si="5"/>
        <v>0.314230420240004</v>
      </c>
      <c r="O10" s="48"/>
      <c r="P10" s="48"/>
      <c r="Q10" s="48"/>
      <c r="R10" s="48"/>
    </row>
    <row r="11" s="4" customFormat="1" ht="26.1" customHeight="1" spans="1:19">
      <c r="A11" s="40">
        <v>6</v>
      </c>
      <c r="B11" s="41">
        <v>9086598</v>
      </c>
      <c r="C11" s="41" t="s">
        <v>23</v>
      </c>
      <c r="D11" s="41">
        <v>1</v>
      </c>
      <c r="E11" s="42">
        <v>360</v>
      </c>
      <c r="F11" s="42">
        <v>360</v>
      </c>
      <c r="G11" s="43">
        <v>0.1297</v>
      </c>
      <c r="H11" s="44">
        <f t="shared" si="0"/>
        <v>46.692</v>
      </c>
      <c r="I11" s="45">
        <v>0.0702</v>
      </c>
      <c r="J11" s="46">
        <f t="shared" si="1"/>
        <v>3.38775353696526</v>
      </c>
      <c r="K11" s="46">
        <f t="shared" si="2"/>
        <v>0.00980532</v>
      </c>
      <c r="L11" s="46">
        <f t="shared" si="3"/>
        <v>1.68545590024651</v>
      </c>
      <c r="M11" s="47">
        <f t="shared" si="4"/>
        <v>51.7750147572118</v>
      </c>
      <c r="N11" s="46">
        <f t="shared" si="5"/>
        <v>0.143819485436699</v>
      </c>
      <c r="O11" s="48"/>
      <c r="P11" s="48"/>
      <c r="Q11" s="48"/>
      <c r="R11" s="48"/>
    </row>
    <row r="12" s="4" customFormat="1" ht="26.1" customHeight="1" spans="1:19">
      <c r="A12" s="40">
        <v>7</v>
      </c>
      <c r="B12" s="41">
        <v>9086600</v>
      </c>
      <c r="C12" s="41" t="s">
        <v>24</v>
      </c>
      <c r="D12" s="41">
        <v>3</v>
      </c>
      <c r="E12" s="42">
        <v>240</v>
      </c>
      <c r="F12" s="42">
        <v>720</v>
      </c>
      <c r="G12" s="43">
        <v>0.1513</v>
      </c>
      <c r="H12" s="44">
        <f t="shared" si="0"/>
        <v>108.936</v>
      </c>
      <c r="I12" s="45">
        <v>0.231</v>
      </c>
      <c r="J12" s="46">
        <f t="shared" si="1"/>
        <v>11.1477359977062</v>
      </c>
      <c r="K12" s="46">
        <f t="shared" si="2"/>
        <v>0.02287656</v>
      </c>
      <c r="L12" s="46">
        <f t="shared" si="3"/>
        <v>3.93229726611099</v>
      </c>
      <c r="M12" s="47">
        <f t="shared" si="4"/>
        <v>124.038909823817</v>
      </c>
      <c r="N12" s="46">
        <f t="shared" si="5"/>
        <v>0.172276263644191</v>
      </c>
      <c r="O12" s="48"/>
      <c r="P12" s="48"/>
      <c r="Q12" s="48"/>
      <c r="R12" s="48"/>
    </row>
    <row r="13" s="4" customFormat="1" ht="26.1" customHeight="1" spans="1:19">
      <c r="A13" s="40">
        <v>8</v>
      </c>
      <c r="B13" s="41">
        <v>9005418</v>
      </c>
      <c r="C13" s="41" t="s">
        <v>25</v>
      </c>
      <c r="D13" s="41">
        <v>7</v>
      </c>
      <c r="E13" s="42">
        <v>30</v>
      </c>
      <c r="F13" s="42">
        <v>210</v>
      </c>
      <c r="G13" s="43">
        <v>2.3055</v>
      </c>
      <c r="H13" s="44">
        <f t="shared" si="0"/>
        <v>484.155</v>
      </c>
      <c r="I13" s="45">
        <v>1.2789</v>
      </c>
      <c r="J13" s="46">
        <f t="shared" si="1"/>
        <v>61.7179202054825</v>
      </c>
      <c r="K13" s="46">
        <f t="shared" si="2"/>
        <v>0.10167255</v>
      </c>
      <c r="L13" s="46">
        <f t="shared" si="3"/>
        <v>17.4766962516887</v>
      </c>
      <c r="M13" s="47">
        <f t="shared" si="4"/>
        <v>563.451289007171</v>
      </c>
      <c r="N13" s="46">
        <f t="shared" si="5"/>
        <v>2.68310137622462</v>
      </c>
      <c r="O13" s="48"/>
      <c r="P13" s="48"/>
      <c r="Q13" s="48"/>
      <c r="R13" s="48"/>
    </row>
    <row r="14" s="4" customFormat="1" ht="26.1" customHeight="1" spans="1:19">
      <c r="A14" s="40">
        <v>9</v>
      </c>
      <c r="B14" s="41">
        <v>9005420</v>
      </c>
      <c r="C14" s="41" t="s">
        <v>26</v>
      </c>
      <c r="D14" s="41">
        <v>7</v>
      </c>
      <c r="E14" s="42">
        <v>30</v>
      </c>
      <c r="F14" s="42">
        <v>210</v>
      </c>
      <c r="G14" s="43">
        <v>2.1326</v>
      </c>
      <c r="H14" s="44">
        <f t="shared" si="0"/>
        <v>447.846</v>
      </c>
      <c r="I14" s="45">
        <v>1.012564</v>
      </c>
      <c r="J14" s="46">
        <f t="shared" si="1"/>
        <v>48.864918410309</v>
      </c>
      <c r="K14" s="46">
        <f t="shared" si="2"/>
        <v>0.09404766</v>
      </c>
      <c r="L14" s="46">
        <f t="shared" si="3"/>
        <v>16.1660387882678</v>
      </c>
      <c r="M14" s="47">
        <f t="shared" si="4"/>
        <v>512.971004858577</v>
      </c>
      <c r="N14" s="46">
        <f t="shared" si="5"/>
        <v>2.44271907075513</v>
      </c>
      <c r="O14" s="48"/>
      <c r="P14" s="48"/>
      <c r="Q14" s="48"/>
      <c r="R14" s="48"/>
    </row>
    <row r="15" s="4" customFormat="1" ht="26.1" customHeight="1" spans="1:19">
      <c r="A15" s="40">
        <v>10</v>
      </c>
      <c r="B15" s="41">
        <v>9005421</v>
      </c>
      <c r="C15" s="41" t="s">
        <v>27</v>
      </c>
      <c r="D15" s="41">
        <v>17</v>
      </c>
      <c r="E15" s="42">
        <v>8</v>
      </c>
      <c r="F15" s="42">
        <v>136</v>
      </c>
      <c r="G15" s="43">
        <v>2.781</v>
      </c>
      <c r="H15" s="44">
        <f t="shared" si="0"/>
        <v>378.216</v>
      </c>
      <c r="I15" s="45">
        <v>1.204875</v>
      </c>
      <c r="J15" s="46">
        <f t="shared" si="1"/>
        <v>58.1455775334903</v>
      </c>
      <c r="K15" s="46">
        <f t="shared" si="2"/>
        <v>0.07942536</v>
      </c>
      <c r="L15" s="46">
        <f t="shared" si="3"/>
        <v>13.6525826430146</v>
      </c>
      <c r="M15" s="47">
        <f t="shared" si="4"/>
        <v>450.093585536505</v>
      </c>
      <c r="N15" s="46">
        <f t="shared" si="5"/>
        <v>3.30951165835665</v>
      </c>
      <c r="O15" s="48"/>
      <c r="P15" s="48"/>
      <c r="Q15" s="48"/>
      <c r="R15" s="48"/>
    </row>
    <row r="16" s="4" customFormat="1" ht="26.1" customHeight="1" spans="1:19">
      <c r="A16" s="40">
        <v>11</v>
      </c>
      <c r="B16" s="41">
        <v>9004742</v>
      </c>
      <c r="C16" s="41" t="s">
        <v>28</v>
      </c>
      <c r="D16" s="41">
        <v>6</v>
      </c>
      <c r="E16" s="42">
        <v>16</v>
      </c>
      <c r="F16" s="42">
        <v>96</v>
      </c>
      <c r="G16" s="43">
        <v>1.4121</v>
      </c>
      <c r="H16" s="44">
        <f t="shared" si="0"/>
        <v>135.5616</v>
      </c>
      <c r="I16" s="45">
        <v>0.336</v>
      </c>
      <c r="J16" s="46">
        <f t="shared" si="1"/>
        <v>16.2148887239363</v>
      </c>
      <c r="K16" s="46">
        <f t="shared" si="2"/>
        <v>0.028467936</v>
      </c>
      <c r="L16" s="46">
        <f t="shared" si="3"/>
        <v>4.89340997530322</v>
      </c>
      <c r="M16" s="47">
        <f t="shared" si="4"/>
        <v>156.698366635239</v>
      </c>
      <c r="N16" s="46">
        <f t="shared" si="5"/>
        <v>1.63227465245041</v>
      </c>
      <c r="O16" s="48"/>
      <c r="P16" s="48"/>
      <c r="Q16" s="48"/>
      <c r="R16" s="48"/>
    </row>
    <row r="17" s="4" customFormat="1" ht="26.1" customHeight="1" spans="1:18">
      <c r="A17" s="40">
        <v>12</v>
      </c>
      <c r="B17" s="41">
        <v>9004860</v>
      </c>
      <c r="C17" s="41" t="s">
        <v>29</v>
      </c>
      <c r="D17" s="41">
        <v>1</v>
      </c>
      <c r="E17" s="42">
        <v>200</v>
      </c>
      <c r="F17" s="42">
        <v>200</v>
      </c>
      <c r="G17" s="43">
        <v>0.5764</v>
      </c>
      <c r="H17" s="44">
        <f t="shared" si="0"/>
        <v>115.28</v>
      </c>
      <c r="I17" s="45">
        <v>0.086292</v>
      </c>
      <c r="J17" s="46">
        <f t="shared" si="1"/>
        <v>4.16433088620806</v>
      </c>
      <c r="K17" s="46">
        <f t="shared" si="2"/>
        <v>0.0242088</v>
      </c>
      <c r="L17" s="46">
        <f t="shared" si="3"/>
        <v>4.1612986417463</v>
      </c>
      <c r="M17" s="47">
        <f t="shared" si="4"/>
        <v>123.629838327954</v>
      </c>
      <c r="N17" s="46">
        <f t="shared" si="5"/>
        <v>0.618149191639772</v>
      </c>
      <c r="O17" s="48"/>
      <c r="P17" s="48"/>
      <c r="Q17" s="48"/>
      <c r="R17" s="48"/>
    </row>
    <row r="18" s="4" customFormat="1" ht="26.1" customHeight="1" spans="1:18">
      <c r="A18" s="40">
        <v>13</v>
      </c>
      <c r="B18" s="41">
        <v>9004861</v>
      </c>
      <c r="C18" s="41" t="s">
        <v>30</v>
      </c>
      <c r="D18" s="41">
        <v>1</v>
      </c>
      <c r="E18" s="42">
        <v>50</v>
      </c>
      <c r="F18" s="42">
        <v>50</v>
      </c>
      <c r="G18" s="43">
        <v>0.8646</v>
      </c>
      <c r="H18" s="44">
        <f t="shared" si="0"/>
        <v>43.23</v>
      </c>
      <c r="I18" s="45">
        <v>0.04884</v>
      </c>
      <c r="J18" s="46">
        <f t="shared" si="1"/>
        <v>2.35694989665788</v>
      </c>
      <c r="K18" s="46">
        <f t="shared" si="2"/>
        <v>0.0090783</v>
      </c>
      <c r="L18" s="46">
        <f t="shared" si="3"/>
        <v>1.56048699065486</v>
      </c>
      <c r="M18" s="47">
        <f t="shared" si="4"/>
        <v>47.1565151873127</v>
      </c>
      <c r="N18" s="46">
        <f t="shared" si="5"/>
        <v>0.943130303746255</v>
      </c>
      <c r="O18" s="48"/>
      <c r="P18" s="48"/>
      <c r="Q18" s="48"/>
      <c r="R18" s="48"/>
    </row>
    <row r="19" s="4" customFormat="1" ht="26.1" customHeight="1" spans="1:18">
      <c r="A19" s="40">
        <v>14</v>
      </c>
      <c r="B19" s="41">
        <v>9005066</v>
      </c>
      <c r="C19" s="41" t="s">
        <v>31</v>
      </c>
      <c r="D19" s="41">
        <v>2</v>
      </c>
      <c r="E19" s="42">
        <v>50</v>
      </c>
      <c r="F19" s="42">
        <v>100</v>
      </c>
      <c r="G19" s="43">
        <v>0.8357</v>
      </c>
      <c r="H19" s="44">
        <f t="shared" si="0"/>
        <v>83.57</v>
      </c>
      <c r="I19" s="45">
        <v>0.3575</v>
      </c>
      <c r="J19" s="46">
        <f t="shared" si="1"/>
        <v>17.2524485678786</v>
      </c>
      <c r="K19" s="46">
        <f t="shared" si="2"/>
        <v>0.0175497</v>
      </c>
      <c r="L19" s="46">
        <f t="shared" si="3"/>
        <v>3.01665273673437</v>
      </c>
      <c r="M19" s="47">
        <f t="shared" si="4"/>
        <v>103.856651004613</v>
      </c>
      <c r="N19" s="46">
        <f t="shared" si="5"/>
        <v>1.03856651004613</v>
      </c>
      <c r="O19" s="48"/>
      <c r="P19" s="48"/>
      <c r="Q19" s="48"/>
      <c r="R19" s="48"/>
    </row>
    <row r="20" s="4" customFormat="1" ht="26.1" customHeight="1" spans="1:18">
      <c r="A20" s="40">
        <v>15</v>
      </c>
      <c r="B20" s="41">
        <v>9005092</v>
      </c>
      <c r="C20" s="41" t="s">
        <v>32</v>
      </c>
      <c r="D20" s="41">
        <v>2</v>
      </c>
      <c r="E20" s="42">
        <v>25</v>
      </c>
      <c r="F20" s="42">
        <v>50</v>
      </c>
      <c r="G20" s="43">
        <v>1.7579</v>
      </c>
      <c r="H20" s="44">
        <f t="shared" si="0"/>
        <v>87.895</v>
      </c>
      <c r="I20" s="45">
        <v>0.2166</v>
      </c>
      <c r="J20" s="46">
        <f t="shared" si="1"/>
        <v>10.4528121952518</v>
      </c>
      <c r="K20" s="46">
        <f t="shared" si="2"/>
        <v>0.01845795</v>
      </c>
      <c r="L20" s="46">
        <f t="shared" si="3"/>
        <v>3.17277363043278</v>
      </c>
      <c r="M20" s="47">
        <f t="shared" si="4"/>
        <v>101.539043775685</v>
      </c>
      <c r="N20" s="46">
        <f t="shared" si="5"/>
        <v>2.03078087551369</v>
      </c>
      <c r="O20" s="48"/>
      <c r="P20" s="48"/>
      <c r="Q20" s="48"/>
      <c r="R20" s="48"/>
    </row>
    <row r="21" s="4" customFormat="1" ht="26.1" customHeight="1" spans="1:18">
      <c r="A21" s="40">
        <v>16</v>
      </c>
      <c r="B21" s="41">
        <v>9049455</v>
      </c>
      <c r="C21" s="41" t="s">
        <v>33</v>
      </c>
      <c r="D21" s="41">
        <v>2</v>
      </c>
      <c r="E21" s="42">
        <v>300</v>
      </c>
      <c r="F21" s="42">
        <v>600</v>
      </c>
      <c r="G21" s="43">
        <v>0.8213</v>
      </c>
      <c r="H21" s="44">
        <f t="shared" si="0"/>
        <v>492.78</v>
      </c>
      <c r="I21" s="45">
        <v>0.072</v>
      </c>
      <c r="J21" s="46">
        <f t="shared" si="1"/>
        <v>3.47461901227206</v>
      </c>
      <c r="K21" s="46">
        <f t="shared" si="2"/>
        <v>0.1034838</v>
      </c>
      <c r="L21" s="46">
        <f t="shared" si="3"/>
        <v>17.788035606174</v>
      </c>
      <c r="M21" s="47">
        <f t="shared" si="4"/>
        <v>514.146138418446</v>
      </c>
      <c r="N21" s="46">
        <f t="shared" si="5"/>
        <v>0.85691023069741</v>
      </c>
      <c r="O21" s="48"/>
      <c r="P21" s="48"/>
      <c r="Q21" s="48"/>
      <c r="R21" s="48"/>
    </row>
    <row r="22" s="4" customFormat="1" ht="26.1" customHeight="1" spans="1:18">
      <c r="A22" s="40">
        <v>17</v>
      </c>
      <c r="B22" s="41">
        <v>9049090</v>
      </c>
      <c r="C22" s="41" t="s">
        <v>34</v>
      </c>
      <c r="D22" s="41">
        <v>1</v>
      </c>
      <c r="E22" s="42">
        <v>198</v>
      </c>
      <c r="F22" s="42">
        <v>198</v>
      </c>
      <c r="G22" s="43">
        <v>0.7493</v>
      </c>
      <c r="H22" s="44">
        <f t="shared" si="0"/>
        <v>148.3614</v>
      </c>
      <c r="I22" s="45">
        <v>0.045</v>
      </c>
      <c r="J22" s="46">
        <f t="shared" si="1"/>
        <v>2.17163688267004</v>
      </c>
      <c r="K22" s="46">
        <f t="shared" si="2"/>
        <v>0.031155894</v>
      </c>
      <c r="L22" s="46">
        <f t="shared" si="3"/>
        <v>5.3554484065543</v>
      </c>
      <c r="M22" s="47">
        <f t="shared" si="4"/>
        <v>155.919641183224</v>
      </c>
      <c r="N22" s="46">
        <f t="shared" si="5"/>
        <v>0.78747293526881</v>
      </c>
      <c r="O22" s="48"/>
      <c r="P22" s="48"/>
      <c r="Q22" s="48"/>
      <c r="R22" s="48"/>
    </row>
    <row r="23" s="4" customFormat="1" ht="26.1" customHeight="1" spans="1:18">
      <c r="A23" s="40">
        <v>18</v>
      </c>
      <c r="B23" s="41">
        <v>9049091</v>
      </c>
      <c r="C23" s="41" t="s">
        <v>35</v>
      </c>
      <c r="D23" s="41">
        <v>1</v>
      </c>
      <c r="E23" s="42">
        <v>198</v>
      </c>
      <c r="F23" s="42">
        <v>198</v>
      </c>
      <c r="G23" s="43">
        <v>0.7493</v>
      </c>
      <c r="H23" s="44">
        <f t="shared" si="0"/>
        <v>148.3614</v>
      </c>
      <c r="I23" s="45">
        <v>0.045</v>
      </c>
      <c r="J23" s="46">
        <f t="shared" si="1"/>
        <v>2.17163688267004</v>
      </c>
      <c r="K23" s="46">
        <f t="shared" si="2"/>
        <v>0.031155894</v>
      </c>
      <c r="L23" s="46">
        <f t="shared" si="3"/>
        <v>5.3554484065543</v>
      </c>
      <c r="M23" s="47">
        <f t="shared" si="4"/>
        <v>155.919641183224</v>
      </c>
      <c r="N23" s="46">
        <f t="shared" si="5"/>
        <v>0.78747293526881</v>
      </c>
      <c r="O23" s="48"/>
      <c r="P23" s="48"/>
      <c r="Q23" s="48"/>
      <c r="R23" s="48"/>
    </row>
    <row r="24" s="4" customFormat="1" ht="26.1" customHeight="1" spans="1:18">
      <c r="A24" s="40">
        <v>19</v>
      </c>
      <c r="B24" s="41">
        <v>9049092</v>
      </c>
      <c r="C24" s="41" t="s">
        <v>36</v>
      </c>
      <c r="D24" s="41">
        <v>1</v>
      </c>
      <c r="E24" s="42">
        <v>198</v>
      </c>
      <c r="F24" s="42">
        <v>198</v>
      </c>
      <c r="G24" s="43">
        <v>0.8213</v>
      </c>
      <c r="H24" s="44">
        <f t="shared" si="0"/>
        <v>162.6174</v>
      </c>
      <c r="I24" s="45">
        <v>0.045</v>
      </c>
      <c r="J24" s="46">
        <f t="shared" si="1"/>
        <v>2.17163688267004</v>
      </c>
      <c r="K24" s="46">
        <f t="shared" si="2"/>
        <v>0.034149654</v>
      </c>
      <c r="L24" s="46">
        <f t="shared" si="3"/>
        <v>5.87005175003743</v>
      </c>
      <c r="M24" s="47">
        <f t="shared" si="4"/>
        <v>170.693238286707</v>
      </c>
      <c r="N24" s="46">
        <f t="shared" si="5"/>
        <v>0.862087062054078</v>
      </c>
      <c r="O24" s="48"/>
      <c r="P24" s="48"/>
      <c r="Q24" s="48"/>
      <c r="R24" s="48"/>
    </row>
    <row r="25" s="4" customFormat="1" ht="26.1" customHeight="1" spans="1:18">
      <c r="A25" s="40">
        <v>20</v>
      </c>
      <c r="B25" s="41">
        <v>9049093</v>
      </c>
      <c r="C25" s="41" t="s">
        <v>37</v>
      </c>
      <c r="D25" s="41">
        <v>1</v>
      </c>
      <c r="E25" s="42">
        <v>198</v>
      </c>
      <c r="F25" s="42">
        <v>198</v>
      </c>
      <c r="G25" s="43">
        <v>0.8501</v>
      </c>
      <c r="H25" s="44">
        <f t="shared" si="0"/>
        <v>168.3198</v>
      </c>
      <c r="I25" s="45">
        <v>0.045</v>
      </c>
      <c r="J25" s="46">
        <f t="shared" si="1"/>
        <v>2.17163688267004</v>
      </c>
      <c r="K25" s="46">
        <f t="shared" si="2"/>
        <v>0.035347158</v>
      </c>
      <c r="L25" s="46">
        <f t="shared" si="3"/>
        <v>6.07589308743068</v>
      </c>
      <c r="M25" s="47">
        <f t="shared" si="4"/>
        <v>176.602677128101</v>
      </c>
      <c r="N25" s="46">
        <f t="shared" si="5"/>
        <v>0.891932712768185</v>
      </c>
      <c r="O25" s="48"/>
      <c r="P25" s="48"/>
      <c r="Q25" s="48"/>
      <c r="R25" s="48"/>
    </row>
    <row r="26" s="4" customFormat="1" ht="26.1" customHeight="1" spans="1:18">
      <c r="A26" s="40">
        <v>21</v>
      </c>
      <c r="B26" s="41">
        <v>9049094</v>
      </c>
      <c r="C26" s="41" t="s">
        <v>38</v>
      </c>
      <c r="D26" s="41">
        <v>1</v>
      </c>
      <c r="E26" s="42">
        <v>198</v>
      </c>
      <c r="F26" s="42">
        <v>198</v>
      </c>
      <c r="G26" s="43">
        <v>0.9078</v>
      </c>
      <c r="H26" s="44">
        <f t="shared" si="0"/>
        <v>179.7444</v>
      </c>
      <c r="I26" s="45">
        <v>0.045</v>
      </c>
      <c r="J26" s="46">
        <f t="shared" si="1"/>
        <v>2.17163688267004</v>
      </c>
      <c r="K26" s="46">
        <f t="shared" si="2"/>
        <v>0.037746324</v>
      </c>
      <c r="L26" s="46">
        <f t="shared" si="3"/>
        <v>6.48829048908313</v>
      </c>
      <c r="M26" s="47">
        <f t="shared" si="4"/>
        <v>188.442073695753</v>
      </c>
      <c r="N26" s="46">
        <f t="shared" si="5"/>
        <v>0.951727644928047</v>
      </c>
      <c r="O26" s="48"/>
      <c r="P26" s="48"/>
      <c r="Q26" s="48"/>
      <c r="R26" s="48"/>
    </row>
    <row r="27" s="4" customFormat="1" ht="26.1" customHeight="1" spans="1:18">
      <c r="A27" s="40">
        <v>22</v>
      </c>
      <c r="B27" s="41">
        <v>9067362</v>
      </c>
      <c r="C27" s="41" t="s">
        <v>39</v>
      </c>
      <c r="D27" s="41">
        <v>1</v>
      </c>
      <c r="E27" s="42">
        <v>360</v>
      </c>
      <c r="F27" s="42">
        <v>360</v>
      </c>
      <c r="G27" s="43">
        <v>0.2305</v>
      </c>
      <c r="H27" s="44">
        <f t="shared" si="0"/>
        <v>82.98</v>
      </c>
      <c r="I27" s="45">
        <v>0.13163</v>
      </c>
      <c r="J27" s="46">
        <f t="shared" si="1"/>
        <v>6.35227917479682</v>
      </c>
      <c r="K27" s="46">
        <f t="shared" si="2"/>
        <v>0.0174258</v>
      </c>
      <c r="L27" s="46">
        <f t="shared" si="3"/>
        <v>2.99535532002175</v>
      </c>
      <c r="M27" s="47">
        <f t="shared" si="4"/>
        <v>92.3450602948186</v>
      </c>
      <c r="N27" s="46">
        <f t="shared" si="5"/>
        <v>0.256514056374496</v>
      </c>
      <c r="O27" s="48"/>
      <c r="P27" s="48"/>
      <c r="Q27" s="48"/>
      <c r="R27" s="48"/>
    </row>
    <row r="28" s="4" customFormat="1" ht="26.1" customHeight="1" spans="1:18">
      <c r="A28" s="40">
        <v>23</v>
      </c>
      <c r="B28" s="41">
        <v>8955676</v>
      </c>
      <c r="C28" s="41" t="s">
        <v>40</v>
      </c>
      <c r="D28" s="41">
        <v>4</v>
      </c>
      <c r="E28" s="42">
        <v>192</v>
      </c>
      <c r="F28" s="42">
        <v>768</v>
      </c>
      <c r="G28" s="43">
        <v>0.5259</v>
      </c>
      <c r="H28" s="44">
        <f t="shared" si="0"/>
        <v>403.8912</v>
      </c>
      <c r="I28" s="45">
        <v>0.448</v>
      </c>
      <c r="J28" s="46">
        <f t="shared" si="1"/>
        <v>21.619851631915</v>
      </c>
      <c r="K28" s="46">
        <f t="shared" si="2"/>
        <v>0.084817152</v>
      </c>
      <c r="L28" s="46">
        <f t="shared" si="3"/>
        <v>14.5793884626412</v>
      </c>
      <c r="M28" s="47">
        <f t="shared" si="4"/>
        <v>440.175257246556</v>
      </c>
      <c r="N28" s="46">
        <f t="shared" si="5"/>
        <v>0.573144866206454</v>
      </c>
      <c r="O28" s="48"/>
      <c r="P28" s="48"/>
      <c r="Q28" s="48"/>
      <c r="R28" s="48"/>
    </row>
    <row r="29" s="4" customFormat="1" ht="26.1" customHeight="1" spans="1:18">
      <c r="A29" s="40">
        <v>24</v>
      </c>
      <c r="B29" s="41">
        <v>9080652</v>
      </c>
      <c r="C29" s="41" t="s">
        <v>41</v>
      </c>
      <c r="D29" s="41">
        <v>1</v>
      </c>
      <c r="E29" s="42">
        <v>624</v>
      </c>
      <c r="F29" s="42">
        <v>624</v>
      </c>
      <c r="G29" s="43">
        <v>0.1686</v>
      </c>
      <c r="H29" s="44">
        <f t="shared" si="0"/>
        <v>105.2064</v>
      </c>
      <c r="I29" s="45">
        <v>0.0828</v>
      </c>
      <c r="J29" s="46">
        <f t="shared" si="1"/>
        <v>3.99581186411287</v>
      </c>
      <c r="K29" s="46">
        <f t="shared" si="2"/>
        <v>0.022093344</v>
      </c>
      <c r="L29" s="46">
        <f t="shared" si="3"/>
        <v>3.79766871463409</v>
      </c>
      <c r="M29" s="47">
        <f t="shared" si="4"/>
        <v>113.021973922747</v>
      </c>
      <c r="N29" s="46">
        <f t="shared" si="5"/>
        <v>0.18112495820953</v>
      </c>
      <c r="O29" s="48"/>
      <c r="P29" s="48"/>
      <c r="Q29" s="48"/>
      <c r="R29" s="48"/>
    </row>
    <row r="30" s="4" customFormat="1" ht="26.1" customHeight="1" spans="1:18">
      <c r="A30" s="40">
        <v>25</v>
      </c>
      <c r="B30" s="41">
        <v>9061289</v>
      </c>
      <c r="C30" s="41" t="s">
        <v>42</v>
      </c>
      <c r="D30" s="41">
        <v>3</v>
      </c>
      <c r="E30" s="42">
        <v>240</v>
      </c>
      <c r="F30" s="42">
        <v>720</v>
      </c>
      <c r="G30" s="43">
        <v>0.2507</v>
      </c>
      <c r="H30" s="44">
        <f t="shared" si="0"/>
        <v>180.504</v>
      </c>
      <c r="I30" s="45">
        <v>0.126</v>
      </c>
      <c r="J30" s="46">
        <f t="shared" si="1"/>
        <v>6.08058327147611</v>
      </c>
      <c r="K30" s="46">
        <f t="shared" si="2"/>
        <v>0.03790584</v>
      </c>
      <c r="L30" s="46">
        <f t="shared" si="3"/>
        <v>6.51571001066771</v>
      </c>
      <c r="M30" s="47">
        <f t="shared" si="4"/>
        <v>193.138199122144</v>
      </c>
      <c r="N30" s="46">
        <f t="shared" si="5"/>
        <v>0.268247498780755</v>
      </c>
      <c r="O30" s="48"/>
      <c r="P30" s="48"/>
      <c r="Q30" s="48"/>
      <c r="R30" s="48"/>
    </row>
    <row r="31" s="4" customFormat="1" ht="26.1" customHeight="1" spans="1:18">
      <c r="A31" s="40">
        <v>26</v>
      </c>
      <c r="B31" s="41">
        <v>9062695</v>
      </c>
      <c r="C31" s="41" t="s">
        <v>43</v>
      </c>
      <c r="D31" s="41">
        <v>1</v>
      </c>
      <c r="E31" s="42">
        <v>320</v>
      </c>
      <c r="F31" s="42">
        <v>320</v>
      </c>
      <c r="G31" s="43">
        <v>0.438</v>
      </c>
      <c r="H31" s="44">
        <f t="shared" si="0"/>
        <v>140.16</v>
      </c>
      <c r="I31" s="45">
        <v>0.12</v>
      </c>
      <c r="J31" s="46">
        <f t="shared" si="1"/>
        <v>5.7910316871201</v>
      </c>
      <c r="K31" s="46">
        <f t="shared" si="2"/>
        <v>0.0294336</v>
      </c>
      <c r="L31" s="46">
        <f t="shared" si="3"/>
        <v>5.05939987532236</v>
      </c>
      <c r="M31" s="47">
        <f t="shared" si="4"/>
        <v>151.039865162442</v>
      </c>
      <c r="N31" s="46">
        <f t="shared" si="5"/>
        <v>0.471999578632633</v>
      </c>
      <c r="O31" s="48"/>
      <c r="P31" s="48"/>
      <c r="Q31" s="48"/>
      <c r="R31" s="48"/>
    </row>
    <row r="32" s="4" customFormat="1" ht="26.1" customHeight="1" spans="1:18">
      <c r="A32" s="40">
        <v>27</v>
      </c>
      <c r="B32" s="41">
        <v>9066807</v>
      </c>
      <c r="C32" s="41" t="s">
        <v>44</v>
      </c>
      <c r="D32" s="41">
        <v>4</v>
      </c>
      <c r="E32" s="42">
        <v>240</v>
      </c>
      <c r="F32" s="42">
        <v>960</v>
      </c>
      <c r="G32" s="43">
        <v>0.487</v>
      </c>
      <c r="H32" s="44">
        <f t="shared" si="0"/>
        <v>467.52</v>
      </c>
      <c r="I32" s="45">
        <v>0.4896</v>
      </c>
      <c r="J32" s="46">
        <f t="shared" si="1"/>
        <v>23.62740928345</v>
      </c>
      <c r="K32" s="46">
        <f t="shared" si="2"/>
        <v>0.0981792</v>
      </c>
      <c r="L32" s="46">
        <f t="shared" si="3"/>
        <v>16.8762173923424</v>
      </c>
      <c r="M32" s="47">
        <f t="shared" si="4"/>
        <v>508.121805875792</v>
      </c>
      <c r="N32" s="46">
        <f t="shared" si="5"/>
        <v>0.529293547787284</v>
      </c>
      <c r="O32" s="48"/>
      <c r="P32" s="48"/>
      <c r="Q32" s="48"/>
      <c r="R32" s="48"/>
    </row>
    <row r="33" s="4" customFormat="1" ht="26.1" customHeight="1" spans="1:18">
      <c r="A33" s="40">
        <v>28</v>
      </c>
      <c r="B33" s="41">
        <v>9069769</v>
      </c>
      <c r="C33" s="41" t="s">
        <v>45</v>
      </c>
      <c r="D33" s="41">
        <v>5</v>
      </c>
      <c r="E33" s="42">
        <v>100</v>
      </c>
      <c r="F33" s="42">
        <v>500</v>
      </c>
      <c r="G33" s="43">
        <v>0.7911</v>
      </c>
      <c r="H33" s="44">
        <f t="shared" si="0"/>
        <v>395.55</v>
      </c>
      <c r="I33" s="45">
        <v>0.66157</v>
      </c>
      <c r="J33" s="46">
        <f t="shared" si="1"/>
        <v>31.926440277067</v>
      </c>
      <c r="K33" s="46">
        <f t="shared" si="2"/>
        <v>0.0830655</v>
      </c>
      <c r="L33" s="46">
        <f t="shared" si="3"/>
        <v>14.2782935265679</v>
      </c>
      <c r="M33" s="47">
        <f t="shared" si="4"/>
        <v>441.837799303635</v>
      </c>
      <c r="N33" s="46">
        <f t="shared" si="5"/>
        <v>0.88367559860727</v>
      </c>
      <c r="O33" s="48"/>
      <c r="P33" s="48"/>
      <c r="Q33" s="48"/>
      <c r="R33" s="48"/>
    </row>
    <row r="34" s="4" customFormat="1" ht="26.1" customHeight="1" spans="1:18">
      <c r="A34" s="40">
        <v>29</v>
      </c>
      <c r="B34" s="41">
        <v>8975193</v>
      </c>
      <c r="C34" s="41" t="s">
        <v>46</v>
      </c>
      <c r="D34" s="41">
        <v>4</v>
      </c>
      <c r="E34" s="42">
        <v>120</v>
      </c>
      <c r="F34" s="42">
        <v>480</v>
      </c>
      <c r="G34" s="43">
        <v>0.4207</v>
      </c>
      <c r="H34" s="44">
        <f t="shared" si="0"/>
        <v>201.936</v>
      </c>
      <c r="I34" s="45">
        <v>0.6</v>
      </c>
      <c r="J34" s="46">
        <f t="shared" si="1"/>
        <v>28.9551584356005</v>
      </c>
      <c r="K34" s="46">
        <f t="shared" si="2"/>
        <v>0.04240656</v>
      </c>
      <c r="L34" s="46">
        <f t="shared" si="3"/>
        <v>7.28934769708259</v>
      </c>
      <c r="M34" s="47">
        <f t="shared" si="4"/>
        <v>238.222912692683</v>
      </c>
      <c r="N34" s="46">
        <f t="shared" si="5"/>
        <v>0.496297734776423</v>
      </c>
      <c r="O34" s="48"/>
      <c r="P34" s="48"/>
      <c r="Q34" s="48"/>
      <c r="R34" s="48"/>
    </row>
    <row r="35" s="4" customFormat="1" ht="26.1" customHeight="1" spans="1:18">
      <c r="A35" s="40">
        <v>30</v>
      </c>
      <c r="B35" s="41">
        <v>8975194</v>
      </c>
      <c r="C35" s="41" t="s">
        <v>47</v>
      </c>
      <c r="D35" s="41">
        <v>2</v>
      </c>
      <c r="E35" s="42">
        <v>120</v>
      </c>
      <c r="F35" s="42">
        <v>240</v>
      </c>
      <c r="G35" s="43">
        <v>0.3242</v>
      </c>
      <c r="H35" s="44">
        <f t="shared" si="0"/>
        <v>77.808</v>
      </c>
      <c r="I35" s="45">
        <v>0.2</v>
      </c>
      <c r="J35" s="46">
        <f t="shared" si="1"/>
        <v>9.6517194785335</v>
      </c>
      <c r="K35" s="46">
        <f t="shared" si="2"/>
        <v>0.01633968</v>
      </c>
      <c r="L35" s="46">
        <f t="shared" si="3"/>
        <v>2.80865999927998</v>
      </c>
      <c r="M35" s="47">
        <f t="shared" si="4"/>
        <v>90.2847191578135</v>
      </c>
      <c r="N35" s="46">
        <f t="shared" si="5"/>
        <v>0.376186329824223</v>
      </c>
      <c r="O35" s="48"/>
      <c r="P35" s="48"/>
      <c r="Q35" s="48"/>
      <c r="R35" s="48"/>
    </row>
    <row r="36" s="4" customFormat="1" ht="26.1" customHeight="1" spans="1:18">
      <c r="A36" s="40">
        <v>31</v>
      </c>
      <c r="B36" s="41">
        <v>8978155</v>
      </c>
      <c r="C36" s="41" t="s">
        <v>48</v>
      </c>
      <c r="D36" s="41">
        <v>24</v>
      </c>
      <c r="E36" s="42">
        <v>48</v>
      </c>
      <c r="F36" s="42">
        <v>1152</v>
      </c>
      <c r="G36" s="43">
        <v>0.951</v>
      </c>
      <c r="H36" s="44">
        <f t="shared" si="0"/>
        <v>1095.552</v>
      </c>
      <c r="I36" s="45">
        <v>4.08</v>
      </c>
      <c r="J36" s="46">
        <f t="shared" si="1"/>
        <v>196.895077362083</v>
      </c>
      <c r="K36" s="46">
        <f t="shared" si="2"/>
        <v>0.23006592</v>
      </c>
      <c r="L36" s="46">
        <f t="shared" si="3"/>
        <v>39.546487244643</v>
      </c>
      <c r="M36" s="47">
        <f t="shared" si="4"/>
        <v>1332.22363052673</v>
      </c>
      <c r="N36" s="46">
        <f t="shared" si="5"/>
        <v>1.15644412372112</v>
      </c>
      <c r="O36" s="48"/>
      <c r="P36" s="48"/>
      <c r="Q36" s="48"/>
      <c r="R36" s="48"/>
    </row>
    <row r="37" s="4" customFormat="1" ht="26.1" customHeight="1" spans="1:18">
      <c r="A37" s="40">
        <v>32</v>
      </c>
      <c r="B37" s="41">
        <v>8920209</v>
      </c>
      <c r="C37" s="41" t="s">
        <v>49</v>
      </c>
      <c r="D37" s="41">
        <v>1</v>
      </c>
      <c r="E37" s="42">
        <v>1200</v>
      </c>
      <c r="F37" s="42">
        <v>1200</v>
      </c>
      <c r="G37" s="43">
        <v>0.1585</v>
      </c>
      <c r="H37" s="44">
        <f t="shared" si="0"/>
        <v>190.2</v>
      </c>
      <c r="I37" s="45">
        <v>0.096</v>
      </c>
      <c r="J37" s="46">
        <f t="shared" si="1"/>
        <v>4.63282534969608</v>
      </c>
      <c r="K37" s="46">
        <f t="shared" si="2"/>
        <v>0.039942</v>
      </c>
      <c r="L37" s="46">
        <f t="shared" si="3"/>
        <v>6.86570959108385</v>
      </c>
      <c r="M37" s="47">
        <f t="shared" si="4"/>
        <v>201.73847694078</v>
      </c>
      <c r="N37" s="46">
        <f t="shared" si="5"/>
        <v>0.16811539745065</v>
      </c>
      <c r="O37" s="48"/>
      <c r="P37" s="48"/>
      <c r="Q37" s="48"/>
      <c r="R37" s="48"/>
    </row>
    <row r="38" s="4" customFormat="1" ht="26.1" customHeight="1" spans="1:18">
      <c r="A38" s="40">
        <v>33</v>
      </c>
      <c r="B38" s="41">
        <v>8920211</v>
      </c>
      <c r="C38" s="41" t="s">
        <v>50</v>
      </c>
      <c r="D38" s="41">
        <v>1</v>
      </c>
      <c r="E38" s="42">
        <v>1200</v>
      </c>
      <c r="F38" s="42">
        <v>1200</v>
      </c>
      <c r="G38" s="43">
        <v>0.134</v>
      </c>
      <c r="H38" s="44">
        <f t="shared" si="0"/>
        <v>160.8</v>
      </c>
      <c r="I38" s="45">
        <v>0.108</v>
      </c>
      <c r="J38" s="46">
        <f t="shared" si="1"/>
        <v>5.21192851840809</v>
      </c>
      <c r="K38" s="46">
        <f t="shared" si="2"/>
        <v>0.033768</v>
      </c>
      <c r="L38" s="46">
        <f t="shared" si="3"/>
        <v>5.80444848709928</v>
      </c>
      <c r="M38" s="47">
        <f t="shared" si="4"/>
        <v>171.850145005507</v>
      </c>
      <c r="N38" s="46">
        <f t="shared" si="5"/>
        <v>0.143208454171256</v>
      </c>
      <c r="O38" s="48"/>
      <c r="P38" s="48"/>
      <c r="Q38" s="48"/>
      <c r="R38" s="48"/>
    </row>
    <row r="39" s="4" customFormat="1" ht="26.1" customHeight="1" spans="1:18">
      <c r="A39" s="40">
        <v>34</v>
      </c>
      <c r="B39" s="41">
        <v>9086656</v>
      </c>
      <c r="C39" s="41" t="s">
        <v>51</v>
      </c>
      <c r="D39" s="41">
        <v>3</v>
      </c>
      <c r="E39" s="42">
        <v>200</v>
      </c>
      <c r="F39" s="42">
        <v>600</v>
      </c>
      <c r="G39" s="43">
        <v>0.3184</v>
      </c>
      <c r="H39" s="44">
        <f t="shared" si="0"/>
        <v>191.04</v>
      </c>
      <c r="I39" s="45">
        <v>0.17994</v>
      </c>
      <c r="J39" s="46">
        <f t="shared" si="1"/>
        <v>8.68365201483659</v>
      </c>
      <c r="K39" s="46">
        <f t="shared" si="2"/>
        <v>0.0401184</v>
      </c>
      <c r="L39" s="46">
        <f t="shared" si="3"/>
        <v>6.89603133691198</v>
      </c>
      <c r="M39" s="47">
        <f t="shared" si="4"/>
        <v>206.659801751749</v>
      </c>
      <c r="N39" s="46">
        <f t="shared" si="5"/>
        <v>0.344433002919581</v>
      </c>
      <c r="O39" s="48"/>
      <c r="P39" s="48"/>
      <c r="Q39" s="48"/>
      <c r="R39" s="48"/>
    </row>
    <row r="40" s="4" customFormat="1" ht="26.1" customHeight="1" spans="1:18">
      <c r="A40" s="40">
        <v>35</v>
      </c>
      <c r="B40" s="41">
        <v>6001784</v>
      </c>
      <c r="C40" s="41" t="s">
        <v>52</v>
      </c>
      <c r="D40" s="41">
        <v>1</v>
      </c>
      <c r="E40" s="42">
        <v>48</v>
      </c>
      <c r="F40" s="42">
        <v>48</v>
      </c>
      <c r="G40" s="43">
        <v>0.2161</v>
      </c>
      <c r="H40" s="44">
        <f t="shared" si="0"/>
        <v>10.3728</v>
      </c>
      <c r="I40" s="45">
        <v>0.048</v>
      </c>
      <c r="J40" s="46">
        <f t="shared" si="1"/>
        <v>2.31641267484804</v>
      </c>
      <c r="K40" s="46">
        <f t="shared" si="2"/>
        <v>0.002178288</v>
      </c>
      <c r="L40" s="46">
        <f t="shared" si="3"/>
        <v>0.374430244197658</v>
      </c>
      <c r="M40" s="47">
        <f t="shared" si="4"/>
        <v>13.0658212070457</v>
      </c>
      <c r="N40" s="46">
        <f t="shared" si="5"/>
        <v>0.272204608480119</v>
      </c>
      <c r="O40" s="48"/>
      <c r="P40" s="48"/>
      <c r="Q40" s="48"/>
      <c r="R40" s="48"/>
    </row>
    <row r="41" s="4" customFormat="1" ht="26.1" customHeight="1" spans="1:18">
      <c r="A41" s="40">
        <v>36</v>
      </c>
      <c r="B41" s="41">
        <v>9080914</v>
      </c>
      <c r="C41" s="41" t="s">
        <v>53</v>
      </c>
      <c r="D41" s="41">
        <v>2</v>
      </c>
      <c r="E41" s="42">
        <v>200</v>
      </c>
      <c r="F41" s="42">
        <v>400</v>
      </c>
      <c r="G41" s="43">
        <v>0.3098</v>
      </c>
      <c r="H41" s="44">
        <f t="shared" si="0"/>
        <v>123.92</v>
      </c>
      <c r="I41" s="45">
        <v>0.11996</v>
      </c>
      <c r="J41" s="46">
        <f t="shared" si="1"/>
        <v>5.78910134322439</v>
      </c>
      <c r="K41" s="46">
        <f t="shared" si="2"/>
        <v>0.0260232</v>
      </c>
      <c r="L41" s="46">
        <f t="shared" si="3"/>
        <v>4.4731794559785</v>
      </c>
      <c r="M41" s="47">
        <f t="shared" si="4"/>
        <v>134.208303999203</v>
      </c>
      <c r="N41" s="46">
        <f t="shared" si="5"/>
        <v>0.335520759998007</v>
      </c>
      <c r="O41" s="48"/>
      <c r="P41" s="48"/>
      <c r="Q41" s="48"/>
      <c r="R41" s="48"/>
    </row>
    <row r="42" s="4" customFormat="1" ht="26.1" customHeight="1" spans="1:18">
      <c r="A42" s="40">
        <v>37</v>
      </c>
      <c r="B42" s="41">
        <v>9064336</v>
      </c>
      <c r="C42" s="41" t="s">
        <v>54</v>
      </c>
      <c r="D42" s="41">
        <v>6</v>
      </c>
      <c r="E42" s="42">
        <v>100</v>
      </c>
      <c r="F42" s="42">
        <v>600</v>
      </c>
      <c r="G42" s="43">
        <v>0.2233</v>
      </c>
      <c r="H42" s="44">
        <f t="shared" si="0"/>
        <v>133.98</v>
      </c>
      <c r="I42" s="45">
        <v>0.5691</v>
      </c>
      <c r="J42" s="46">
        <f t="shared" si="1"/>
        <v>27.4639677761671</v>
      </c>
      <c r="K42" s="46">
        <f t="shared" si="2"/>
        <v>0.0281358</v>
      </c>
      <c r="L42" s="46">
        <f t="shared" si="3"/>
        <v>4.83631845958682</v>
      </c>
      <c r="M42" s="47">
        <f t="shared" si="4"/>
        <v>166.308422035754</v>
      </c>
      <c r="N42" s="46">
        <f t="shared" si="5"/>
        <v>0.277180703392923</v>
      </c>
      <c r="O42" s="48"/>
      <c r="P42" s="48"/>
      <c r="Q42" s="48"/>
      <c r="R42" s="48"/>
    </row>
    <row r="43" s="4" customFormat="1" ht="26.1" customHeight="1" spans="1:18">
      <c r="A43" s="40">
        <v>38</v>
      </c>
      <c r="B43" s="41">
        <v>8978217</v>
      </c>
      <c r="C43" s="41" t="s">
        <v>55</v>
      </c>
      <c r="D43" s="41">
        <v>2</v>
      </c>
      <c r="E43" s="42">
        <v>72</v>
      </c>
      <c r="F43" s="42">
        <v>144</v>
      </c>
      <c r="G43" s="43">
        <v>0.1081</v>
      </c>
      <c r="H43" s="44">
        <f t="shared" si="0"/>
        <v>15.5664</v>
      </c>
      <c r="I43" s="45">
        <v>0.05</v>
      </c>
      <c r="J43" s="46">
        <f t="shared" si="1"/>
        <v>2.41292986963338</v>
      </c>
      <c r="K43" s="46">
        <f t="shared" si="2"/>
        <v>0.003268944</v>
      </c>
      <c r="L43" s="46">
        <f t="shared" si="3"/>
        <v>0.561905266975014</v>
      </c>
      <c r="M43" s="47">
        <f t="shared" si="4"/>
        <v>18.5445040806084</v>
      </c>
      <c r="N43" s="46">
        <f t="shared" si="5"/>
        <v>0.128781278337558</v>
      </c>
      <c r="O43" s="48"/>
      <c r="P43" s="48"/>
      <c r="Q43" s="48"/>
      <c r="R43" s="48"/>
    </row>
    <row r="44" s="4" customFormat="1" ht="26.1" customHeight="1" spans="1:18">
      <c r="A44" s="40">
        <v>39</v>
      </c>
      <c r="B44" s="41">
        <v>9039239</v>
      </c>
      <c r="C44" s="41" t="s">
        <v>56</v>
      </c>
      <c r="D44" s="41">
        <v>2</v>
      </c>
      <c r="E44" s="42">
        <v>150</v>
      </c>
      <c r="F44" s="42">
        <v>300</v>
      </c>
      <c r="G44" s="43">
        <v>1.0807</v>
      </c>
      <c r="H44" s="44">
        <f t="shared" si="0"/>
        <v>324.21</v>
      </c>
      <c r="I44" s="45">
        <v>0.259</v>
      </c>
      <c r="J44" s="46">
        <f t="shared" si="1"/>
        <v>12.4989767247009</v>
      </c>
      <c r="K44" s="46">
        <f t="shared" si="2"/>
        <v>0.0680841</v>
      </c>
      <c r="L44" s="46">
        <f t="shared" si="3"/>
        <v>11.7031109701645</v>
      </c>
      <c r="M44" s="47">
        <f t="shared" si="4"/>
        <v>348.480171794865</v>
      </c>
      <c r="N44" s="46">
        <f t="shared" si="5"/>
        <v>1.16160057264955</v>
      </c>
      <c r="O44" s="48"/>
      <c r="P44" s="48"/>
      <c r="Q44" s="48"/>
      <c r="R44" s="48"/>
    </row>
    <row r="45" s="4" customFormat="1" ht="26.1" customHeight="1" spans="1:18">
      <c r="A45" s="40">
        <v>40</v>
      </c>
      <c r="B45" s="41">
        <v>9064065</v>
      </c>
      <c r="C45" s="41" t="s">
        <v>57</v>
      </c>
      <c r="D45" s="41">
        <v>1</v>
      </c>
      <c r="E45" s="42">
        <v>132</v>
      </c>
      <c r="F45" s="42">
        <v>132</v>
      </c>
      <c r="G45" s="43">
        <v>0.1412</v>
      </c>
      <c r="H45" s="44">
        <f t="shared" si="0"/>
        <v>18.6384</v>
      </c>
      <c r="I45" s="45">
        <v>0.09984</v>
      </c>
      <c r="J45" s="46">
        <f t="shared" si="1"/>
        <v>4.81813836368392</v>
      </c>
      <c r="K45" s="46">
        <f t="shared" si="2"/>
        <v>0.003914064</v>
      </c>
      <c r="L45" s="46">
        <f t="shared" si="3"/>
        <v>0.672796223146463</v>
      </c>
      <c r="M45" s="47">
        <f t="shared" si="4"/>
        <v>24.1332486508304</v>
      </c>
      <c r="N45" s="46">
        <f t="shared" si="5"/>
        <v>0.18282764129417</v>
      </c>
      <c r="O45" s="48"/>
      <c r="P45" s="48"/>
      <c r="Q45" s="48"/>
      <c r="R45" s="48"/>
    </row>
    <row r="46" s="4" customFormat="1" ht="26.1" customHeight="1" spans="1:18">
      <c r="A46" s="40">
        <v>41</v>
      </c>
      <c r="B46" s="41">
        <v>8978222</v>
      </c>
      <c r="C46" s="41" t="s">
        <v>58</v>
      </c>
      <c r="D46" s="41">
        <v>4</v>
      </c>
      <c r="E46" s="42">
        <v>288</v>
      </c>
      <c r="F46" s="42">
        <v>1152</v>
      </c>
      <c r="G46" s="43">
        <v>0.1153</v>
      </c>
      <c r="H46" s="44">
        <f t="shared" si="0"/>
        <v>132.8256</v>
      </c>
      <c r="I46" s="45">
        <v>0.376</v>
      </c>
      <c r="J46" s="46">
        <f t="shared" si="1"/>
        <v>18.145232619643</v>
      </c>
      <c r="K46" s="46">
        <f t="shared" si="2"/>
        <v>0.027893376</v>
      </c>
      <c r="L46" s="46">
        <f t="shared" si="3"/>
        <v>4.79464771746302</v>
      </c>
      <c r="M46" s="47">
        <f t="shared" si="4"/>
        <v>155.793373713106</v>
      </c>
      <c r="N46" s="46">
        <f t="shared" si="5"/>
        <v>0.135237303570405</v>
      </c>
      <c r="O46" s="48"/>
      <c r="P46" s="48"/>
      <c r="Q46" s="48"/>
      <c r="R46" s="48"/>
    </row>
    <row r="47" s="4" customFormat="1" ht="26.1" customHeight="1" spans="1:18">
      <c r="A47" s="40">
        <v>42</v>
      </c>
      <c r="B47" s="41">
        <v>6001255</v>
      </c>
      <c r="C47" s="41" t="s">
        <v>59</v>
      </c>
      <c r="D47" s="41">
        <v>3</v>
      </c>
      <c r="E47" s="42">
        <v>72</v>
      </c>
      <c r="F47" s="42">
        <v>216</v>
      </c>
      <c r="G47" s="43">
        <v>0.5476</v>
      </c>
      <c r="H47" s="44">
        <f t="shared" si="0"/>
        <v>118.2816</v>
      </c>
      <c r="I47" s="45">
        <v>0.05112</v>
      </c>
      <c r="J47" s="46">
        <f t="shared" si="1"/>
        <v>2.46697949871316</v>
      </c>
      <c r="K47" s="46">
        <f t="shared" si="2"/>
        <v>0.024839136</v>
      </c>
      <c r="L47" s="46">
        <f t="shared" si="3"/>
        <v>4.26964834683882</v>
      </c>
      <c r="M47" s="47">
        <f t="shared" si="4"/>
        <v>125.043066981552</v>
      </c>
      <c r="N47" s="46">
        <f t="shared" si="5"/>
        <v>0.578903087877555</v>
      </c>
      <c r="O47" s="48"/>
      <c r="P47" s="48"/>
      <c r="Q47" s="48"/>
      <c r="R47" s="48"/>
    </row>
    <row r="48" s="4" customFormat="1" ht="26.1" customHeight="1" spans="1:18">
      <c r="A48" s="40">
        <v>43</v>
      </c>
      <c r="B48" s="41">
        <v>9037947</v>
      </c>
      <c r="C48" s="41" t="s">
        <v>60</v>
      </c>
      <c r="D48" s="41">
        <v>9</v>
      </c>
      <c r="E48" s="42">
        <v>10</v>
      </c>
      <c r="F48" s="42">
        <v>90</v>
      </c>
      <c r="G48" s="43">
        <v>5.0576</v>
      </c>
      <c r="H48" s="44">
        <f t="shared" si="0"/>
        <v>455.184</v>
      </c>
      <c r="I48" s="45">
        <v>1.3392</v>
      </c>
      <c r="J48" s="46">
        <f t="shared" si="1"/>
        <v>64.6279136282603</v>
      </c>
      <c r="K48" s="46">
        <f t="shared" si="2"/>
        <v>0.09558864</v>
      </c>
      <c r="L48" s="46">
        <f t="shared" si="3"/>
        <v>16.4309208964664</v>
      </c>
      <c r="M48" s="47">
        <f t="shared" si="4"/>
        <v>536.338423164727</v>
      </c>
      <c r="N48" s="46">
        <f t="shared" si="5"/>
        <v>5.95931581294141</v>
      </c>
      <c r="O48" s="48"/>
      <c r="P48" s="48"/>
      <c r="Q48" s="48"/>
      <c r="R48" s="48"/>
    </row>
    <row r="49" s="4" customFormat="1" ht="26.1" customHeight="1" spans="1:18">
      <c r="A49" s="40">
        <v>44</v>
      </c>
      <c r="B49" s="41">
        <v>9048857</v>
      </c>
      <c r="C49" s="41" t="s">
        <v>61</v>
      </c>
      <c r="D49" s="41">
        <v>5</v>
      </c>
      <c r="E49" s="42">
        <v>48</v>
      </c>
      <c r="F49" s="42">
        <v>240</v>
      </c>
      <c r="G49" s="43">
        <v>1.0086</v>
      </c>
      <c r="H49" s="44">
        <f t="shared" si="0"/>
        <v>242.064</v>
      </c>
      <c r="I49" s="45">
        <v>0.59462</v>
      </c>
      <c r="J49" s="46">
        <f t="shared" si="1"/>
        <v>28.695527181628</v>
      </c>
      <c r="K49" s="46">
        <f t="shared" si="2"/>
        <v>0.05083344</v>
      </c>
      <c r="L49" s="46">
        <f t="shared" si="3"/>
        <v>8.73786081207214</v>
      </c>
      <c r="M49" s="47">
        <f t="shared" si="4"/>
        <v>279.5482214337</v>
      </c>
      <c r="N49" s="46">
        <f t="shared" si="5"/>
        <v>1.16478425597375</v>
      </c>
      <c r="O49" s="48"/>
      <c r="P49" s="48"/>
      <c r="Q49" s="48"/>
      <c r="R49" s="48"/>
    </row>
    <row r="50" s="4" customFormat="1" ht="26.1" customHeight="1" spans="1:18">
      <c r="A50" s="40">
        <v>45</v>
      </c>
      <c r="B50" s="41">
        <v>9039459</v>
      </c>
      <c r="C50" s="41" t="s">
        <v>62</v>
      </c>
      <c r="D50" s="41">
        <v>13</v>
      </c>
      <c r="E50" s="42">
        <v>30</v>
      </c>
      <c r="F50" s="42">
        <v>390</v>
      </c>
      <c r="G50" s="43">
        <v>1.0663</v>
      </c>
      <c r="H50" s="44">
        <f t="shared" si="0"/>
        <v>415.857</v>
      </c>
      <c r="I50" s="45">
        <v>2.35248</v>
      </c>
      <c r="J50" s="46">
        <f t="shared" si="1"/>
        <v>113.527385194302</v>
      </c>
      <c r="K50" s="46">
        <f t="shared" si="2"/>
        <v>0.08732997</v>
      </c>
      <c r="L50" s="46">
        <f t="shared" si="3"/>
        <v>15.011321731963</v>
      </c>
      <c r="M50" s="47">
        <f t="shared" si="4"/>
        <v>544.483036896266</v>
      </c>
      <c r="N50" s="46">
        <f t="shared" si="5"/>
        <v>1.39611035101607</v>
      </c>
      <c r="O50" s="48"/>
      <c r="P50" s="48"/>
      <c r="Q50" s="48"/>
      <c r="R50" s="48"/>
    </row>
    <row r="51" s="4" customFormat="1" ht="26.1" customHeight="1" spans="1:18">
      <c r="A51" s="40">
        <v>46</v>
      </c>
      <c r="B51" s="41">
        <v>6001281</v>
      </c>
      <c r="C51" s="41" t="s">
        <v>63</v>
      </c>
      <c r="D51" s="41">
        <v>11</v>
      </c>
      <c r="E51" s="42">
        <v>12</v>
      </c>
      <c r="F51" s="42">
        <v>132</v>
      </c>
      <c r="G51" s="43">
        <v>0.5043</v>
      </c>
      <c r="H51" s="44">
        <f t="shared" si="0"/>
        <v>66.5676</v>
      </c>
      <c r="I51" s="45">
        <v>0.122925</v>
      </c>
      <c r="J51" s="46">
        <f t="shared" si="1"/>
        <v>5.93218808449365</v>
      </c>
      <c r="K51" s="46">
        <f t="shared" si="2"/>
        <v>0.013979196</v>
      </c>
      <c r="L51" s="46">
        <f t="shared" si="3"/>
        <v>2.40291172331984</v>
      </c>
      <c r="M51" s="47">
        <f t="shared" si="4"/>
        <v>74.9166790038135</v>
      </c>
      <c r="N51" s="46">
        <f t="shared" si="5"/>
        <v>0.567550598513739</v>
      </c>
      <c r="O51" s="48"/>
      <c r="P51" s="48"/>
      <c r="Q51" s="48"/>
      <c r="R51" s="48"/>
    </row>
    <row r="52" s="4" customFormat="1" ht="26.1" customHeight="1" spans="1:18">
      <c r="A52" s="40">
        <v>47</v>
      </c>
      <c r="B52" s="41">
        <v>6001282</v>
      </c>
      <c r="C52" s="41" t="s">
        <v>64</v>
      </c>
      <c r="D52" s="41">
        <v>27</v>
      </c>
      <c r="E52" s="42">
        <v>12</v>
      </c>
      <c r="F52" s="42">
        <v>324</v>
      </c>
      <c r="G52" s="43">
        <v>0.5908</v>
      </c>
      <c r="H52" s="44">
        <f t="shared" si="0"/>
        <v>191.4192</v>
      </c>
      <c r="I52" s="45">
        <v>0.406323</v>
      </c>
      <c r="J52" s="46">
        <f t="shared" si="1"/>
        <v>19.6085780683808</v>
      </c>
      <c r="K52" s="46">
        <f t="shared" si="2"/>
        <v>0.040198032</v>
      </c>
      <c r="L52" s="46">
        <f t="shared" si="3"/>
        <v>6.90971943931439</v>
      </c>
      <c r="M52" s="47">
        <f t="shared" si="4"/>
        <v>217.977695539695</v>
      </c>
      <c r="N52" s="46">
        <f t="shared" si="5"/>
        <v>0.672770665245973</v>
      </c>
      <c r="O52" s="48"/>
      <c r="P52" s="48"/>
      <c r="Q52" s="48"/>
      <c r="R52" s="48"/>
    </row>
    <row r="53" s="4" customFormat="1" ht="26.1" customHeight="1" spans="1:18">
      <c r="A53" s="40">
        <v>48</v>
      </c>
      <c r="B53" s="41">
        <v>6001284</v>
      </c>
      <c r="C53" s="41" t="s">
        <v>65</v>
      </c>
      <c r="D53" s="41">
        <v>51</v>
      </c>
      <c r="E53" s="42">
        <v>12</v>
      </c>
      <c r="F53" s="42">
        <v>612</v>
      </c>
      <c r="G53" s="43">
        <v>0.3674</v>
      </c>
      <c r="H53" s="44">
        <f t="shared" si="0"/>
        <v>224.8488</v>
      </c>
      <c r="I53" s="45">
        <v>0.443394</v>
      </c>
      <c r="J53" s="46">
        <f t="shared" si="1"/>
        <v>21.3975725323244</v>
      </c>
      <c r="K53" s="46">
        <f t="shared" si="2"/>
        <v>0.047218248</v>
      </c>
      <c r="L53" s="46">
        <f t="shared" si="3"/>
        <v>8.11643828971448</v>
      </c>
      <c r="M53" s="47">
        <f t="shared" si="4"/>
        <v>254.410029070039</v>
      </c>
      <c r="N53" s="46">
        <f t="shared" si="5"/>
        <v>0.415702661879149</v>
      </c>
      <c r="O53" s="48"/>
      <c r="P53" s="48"/>
      <c r="Q53" s="48"/>
      <c r="R53" s="48"/>
    </row>
    <row r="54" s="4" customFormat="1" ht="26.1" customHeight="1" spans="1:18">
      <c r="A54" s="40">
        <v>49</v>
      </c>
      <c r="B54" s="41">
        <v>6001285</v>
      </c>
      <c r="C54" s="41" t="s">
        <v>66</v>
      </c>
      <c r="D54" s="41">
        <v>6</v>
      </c>
      <c r="E54" s="42">
        <v>12</v>
      </c>
      <c r="F54" s="42">
        <v>72</v>
      </c>
      <c r="G54" s="43">
        <v>0.4611</v>
      </c>
      <c r="H54" s="44">
        <f t="shared" si="0"/>
        <v>33.1992</v>
      </c>
      <c r="I54" s="45">
        <v>0.068796</v>
      </c>
      <c r="J54" s="46">
        <f t="shared" si="1"/>
        <v>3.31999846622595</v>
      </c>
      <c r="K54" s="46">
        <f t="shared" si="2"/>
        <v>0.006971832</v>
      </c>
      <c r="L54" s="46">
        <f t="shared" si="3"/>
        <v>1.19840202868723</v>
      </c>
      <c r="M54" s="47">
        <f t="shared" si="4"/>
        <v>37.7245723269132</v>
      </c>
      <c r="N54" s="46">
        <f t="shared" si="5"/>
        <v>0.52395239342935</v>
      </c>
      <c r="O54" s="48"/>
      <c r="P54" s="48"/>
      <c r="Q54" s="48"/>
      <c r="R54" s="48"/>
    </row>
    <row r="55" s="4" customFormat="1" ht="26.1" customHeight="1" spans="1:18">
      <c r="A55" s="40">
        <v>50</v>
      </c>
      <c r="B55" s="41">
        <v>6001287</v>
      </c>
      <c r="C55" s="41" t="s">
        <v>67</v>
      </c>
      <c r="D55" s="41">
        <v>16</v>
      </c>
      <c r="E55" s="42">
        <v>12</v>
      </c>
      <c r="F55" s="42">
        <v>192</v>
      </c>
      <c r="G55" s="43">
        <v>0.9006</v>
      </c>
      <c r="H55" s="44">
        <f t="shared" si="0"/>
        <v>172.9152</v>
      </c>
      <c r="I55" s="45">
        <v>0.11616</v>
      </c>
      <c r="J55" s="46">
        <f t="shared" si="1"/>
        <v>5.60571867313226</v>
      </c>
      <c r="K55" s="46">
        <f t="shared" si="2"/>
        <v>0.036312192</v>
      </c>
      <c r="L55" s="46">
        <f t="shared" si="3"/>
        <v>6.24177469550043</v>
      </c>
      <c r="M55" s="47">
        <f t="shared" si="4"/>
        <v>184.799005560633</v>
      </c>
      <c r="N55" s="46">
        <f t="shared" si="5"/>
        <v>0.962494820628295</v>
      </c>
      <c r="O55" s="48"/>
      <c r="P55" s="48"/>
      <c r="Q55" s="48"/>
      <c r="R55" s="48"/>
    </row>
    <row r="56" s="4" customFormat="1" ht="26.1" customHeight="1" spans="1:18">
      <c r="A56" s="40">
        <v>51</v>
      </c>
      <c r="B56" s="41">
        <v>6001289</v>
      </c>
      <c r="C56" s="41" t="s">
        <v>68</v>
      </c>
      <c r="D56" s="41">
        <v>12</v>
      </c>
      <c r="E56" s="42">
        <v>4</v>
      </c>
      <c r="F56" s="42">
        <v>48</v>
      </c>
      <c r="G56" s="43">
        <v>2.4928</v>
      </c>
      <c r="H56" s="44">
        <f t="shared" si="0"/>
        <v>119.6544</v>
      </c>
      <c r="I56" s="45">
        <v>0.303456</v>
      </c>
      <c r="J56" s="46">
        <f t="shared" si="1"/>
        <v>14.6443609303893</v>
      </c>
      <c r="K56" s="46">
        <f t="shared" si="2"/>
        <v>0.025127424</v>
      </c>
      <c r="L56" s="46">
        <f t="shared" si="3"/>
        <v>4.31920274287793</v>
      </c>
      <c r="M56" s="47">
        <f t="shared" si="4"/>
        <v>138.643091097267</v>
      </c>
      <c r="N56" s="46">
        <f t="shared" si="5"/>
        <v>2.88839773119307</v>
      </c>
      <c r="O56" s="48"/>
      <c r="P56" s="48"/>
      <c r="Q56" s="48"/>
      <c r="R56" s="48"/>
    </row>
    <row r="57" s="4" customFormat="1" ht="26.1" customHeight="1" spans="1:18">
      <c r="A57" s="40">
        <v>52</v>
      </c>
      <c r="B57" s="41">
        <v>6001301</v>
      </c>
      <c r="C57" s="41" t="s">
        <v>69</v>
      </c>
      <c r="D57" s="41">
        <v>11</v>
      </c>
      <c r="E57" s="42">
        <v>12</v>
      </c>
      <c r="F57" s="42">
        <v>132</v>
      </c>
      <c r="G57" s="43">
        <v>0.7061</v>
      </c>
      <c r="H57" s="44">
        <f t="shared" si="0"/>
        <v>93.2052</v>
      </c>
      <c r="I57" s="45">
        <v>0.152218</v>
      </c>
      <c r="J57" s="46">
        <f t="shared" si="1"/>
        <v>7.34582717791706</v>
      </c>
      <c r="K57" s="46">
        <f t="shared" si="2"/>
        <v>0.019573092</v>
      </c>
      <c r="L57" s="46">
        <f t="shared" si="3"/>
        <v>3.36445760030961</v>
      </c>
      <c r="M57" s="47">
        <f t="shared" si="4"/>
        <v>103.935057870227</v>
      </c>
      <c r="N57" s="46">
        <f t="shared" si="5"/>
        <v>0.787386802047172</v>
      </c>
      <c r="O57" s="48"/>
      <c r="P57" s="48"/>
      <c r="Q57" s="48"/>
      <c r="R57" s="48"/>
    </row>
    <row r="58" s="4" customFormat="1" ht="26.1" customHeight="1" spans="1:18">
      <c r="A58" s="40">
        <v>53</v>
      </c>
      <c r="B58" s="41">
        <v>6001307</v>
      </c>
      <c r="C58" s="41" t="s">
        <v>70</v>
      </c>
      <c r="D58" s="41">
        <v>10</v>
      </c>
      <c r="E58" s="42">
        <v>8</v>
      </c>
      <c r="F58" s="42">
        <v>80</v>
      </c>
      <c r="G58" s="43">
        <v>2.1787</v>
      </c>
      <c r="H58" s="44">
        <f t="shared" si="0"/>
        <v>174.296</v>
      </c>
      <c r="I58" s="45">
        <v>0.0465</v>
      </c>
      <c r="J58" s="46">
        <f t="shared" si="1"/>
        <v>2.24402477875904</v>
      </c>
      <c r="K58" s="46">
        <f t="shared" si="2"/>
        <v>0.03660216</v>
      </c>
      <c r="L58" s="46">
        <f t="shared" si="3"/>
        <v>6.29161787007124</v>
      </c>
      <c r="M58" s="47">
        <f t="shared" si="4"/>
        <v>182.86824480883</v>
      </c>
      <c r="N58" s="46">
        <f t="shared" si="5"/>
        <v>2.28585306011038</v>
      </c>
      <c r="O58" s="48"/>
      <c r="P58" s="48"/>
      <c r="Q58" s="48"/>
      <c r="R58" s="48"/>
    </row>
    <row r="59" s="4" customFormat="1" ht="26.1" customHeight="1" spans="1:18">
      <c r="A59" s="40">
        <v>54</v>
      </c>
      <c r="B59" s="41">
        <v>8803286</v>
      </c>
      <c r="C59" s="41" t="s">
        <v>71</v>
      </c>
      <c r="D59" s="41">
        <v>12</v>
      </c>
      <c r="E59" s="42">
        <v>12</v>
      </c>
      <c r="F59" s="42">
        <v>144</v>
      </c>
      <c r="G59" s="43">
        <v>0.7781</v>
      </c>
      <c r="H59" s="44">
        <f t="shared" si="0"/>
        <v>112.0464</v>
      </c>
      <c r="I59" s="45">
        <v>0.1701</v>
      </c>
      <c r="J59" s="46">
        <f t="shared" si="1"/>
        <v>8.20878741649274</v>
      </c>
      <c r="K59" s="46">
        <f t="shared" si="2"/>
        <v>0.023529744</v>
      </c>
      <c r="L59" s="46">
        <f t="shared" si="3"/>
        <v>4.04457435923458</v>
      </c>
      <c r="M59" s="47">
        <f t="shared" si="4"/>
        <v>124.323291519727</v>
      </c>
      <c r="N59" s="46">
        <f t="shared" si="5"/>
        <v>0.863356191109217</v>
      </c>
      <c r="O59" s="48"/>
      <c r="P59" s="48"/>
      <c r="Q59" s="48"/>
      <c r="R59" s="48"/>
    </row>
    <row r="60" s="4" customFormat="1" ht="26.1" customHeight="1" spans="1:18">
      <c r="A60" s="40">
        <v>55</v>
      </c>
      <c r="B60" s="41">
        <v>8803287</v>
      </c>
      <c r="C60" s="41" t="s">
        <v>72</v>
      </c>
      <c r="D60" s="41">
        <v>23</v>
      </c>
      <c r="E60" s="42">
        <v>12</v>
      </c>
      <c r="F60" s="42">
        <v>276</v>
      </c>
      <c r="G60" s="43">
        <v>1.245</v>
      </c>
      <c r="H60" s="44">
        <f t="shared" si="0"/>
        <v>343.62</v>
      </c>
      <c r="I60" s="45">
        <v>0.538959</v>
      </c>
      <c r="J60" s="46">
        <f t="shared" si="1"/>
        <v>26.0094053921547</v>
      </c>
      <c r="K60" s="46">
        <f t="shared" si="2"/>
        <v>0.0721602</v>
      </c>
      <c r="L60" s="46">
        <f t="shared" si="3"/>
        <v>12.4037598826931</v>
      </c>
      <c r="M60" s="47">
        <f t="shared" si="4"/>
        <v>382.105325474848</v>
      </c>
      <c r="N60" s="46">
        <f t="shared" si="5"/>
        <v>1.3844395850538</v>
      </c>
      <c r="O60" s="48"/>
      <c r="P60" s="48"/>
      <c r="Q60" s="48"/>
      <c r="R60" s="48"/>
    </row>
    <row r="61" s="4" customFormat="1" ht="26.1" customHeight="1" spans="1:18">
      <c r="A61" s="40">
        <v>56</v>
      </c>
      <c r="B61" s="41">
        <v>8803290</v>
      </c>
      <c r="C61" s="41" t="s">
        <v>73</v>
      </c>
      <c r="D61" s="41">
        <v>14</v>
      </c>
      <c r="E61" s="42">
        <v>12</v>
      </c>
      <c r="F61" s="42">
        <v>168</v>
      </c>
      <c r="G61" s="43">
        <v>1.8055</v>
      </c>
      <c r="H61" s="44">
        <f t="shared" si="0"/>
        <v>303.324</v>
      </c>
      <c r="I61" s="45">
        <v>0.590016</v>
      </c>
      <c r="J61" s="46">
        <f t="shared" si="1"/>
        <v>28.4733445992321</v>
      </c>
      <c r="K61" s="46">
        <f t="shared" si="2"/>
        <v>0.06369804</v>
      </c>
      <c r="L61" s="46">
        <f t="shared" si="3"/>
        <v>10.9491824185379</v>
      </c>
      <c r="M61" s="47">
        <f t="shared" si="4"/>
        <v>342.81022505777</v>
      </c>
      <c r="N61" s="46">
        <f t="shared" si="5"/>
        <v>2.0405370539153</v>
      </c>
      <c r="O61" s="48"/>
      <c r="P61" s="48"/>
      <c r="Q61" s="48"/>
      <c r="R61" s="48"/>
    </row>
    <row r="62" s="4" customFormat="1" ht="26.1" customHeight="1" spans="1:18">
      <c r="A62" s="40">
        <v>57</v>
      </c>
      <c r="B62" s="41">
        <v>9048768</v>
      </c>
      <c r="C62" s="41" t="s">
        <v>74</v>
      </c>
      <c r="D62" s="41">
        <v>5</v>
      </c>
      <c r="E62" s="42">
        <v>6</v>
      </c>
      <c r="F62" s="42">
        <v>30</v>
      </c>
      <c r="G62" s="43">
        <v>4.6686</v>
      </c>
      <c r="H62" s="44">
        <f t="shared" si="0"/>
        <v>140.058</v>
      </c>
      <c r="I62" s="45">
        <v>0.2626</v>
      </c>
      <c r="J62" s="46">
        <f t="shared" si="1"/>
        <v>12.6727076753145</v>
      </c>
      <c r="K62" s="46">
        <f t="shared" si="2"/>
        <v>0.02941218</v>
      </c>
      <c r="L62" s="46">
        <f t="shared" si="3"/>
        <v>5.05571794904323</v>
      </c>
      <c r="M62" s="47">
        <f t="shared" si="4"/>
        <v>157.815837804358</v>
      </c>
      <c r="N62" s="46">
        <f t="shared" si="5"/>
        <v>5.26052792681192</v>
      </c>
      <c r="O62" s="48"/>
      <c r="P62" s="48"/>
      <c r="Q62" s="48"/>
      <c r="R62" s="48"/>
    </row>
    <row r="63" s="4" customFormat="1" ht="26.1" customHeight="1" spans="1:18">
      <c r="A63" s="40">
        <v>58</v>
      </c>
      <c r="B63" s="41">
        <v>8900039</v>
      </c>
      <c r="C63" s="41" t="s">
        <v>75</v>
      </c>
      <c r="D63" s="41">
        <v>1</v>
      </c>
      <c r="E63" s="42">
        <v>120</v>
      </c>
      <c r="F63" s="42">
        <v>120</v>
      </c>
      <c r="G63" s="43">
        <v>1.8012</v>
      </c>
      <c r="H63" s="44">
        <f t="shared" si="0"/>
        <v>216.144</v>
      </c>
      <c r="I63" s="45">
        <v>0.111</v>
      </c>
      <c r="J63" s="46">
        <f t="shared" si="1"/>
        <v>5.35670431058609</v>
      </c>
      <c r="K63" s="46">
        <f t="shared" si="2"/>
        <v>0.04539024</v>
      </c>
      <c r="L63" s="46">
        <f t="shared" si="3"/>
        <v>7.80221836937554</v>
      </c>
      <c r="M63" s="47">
        <f t="shared" si="4"/>
        <v>229.348312919962</v>
      </c>
      <c r="N63" s="46">
        <f t="shared" si="5"/>
        <v>1.91123594099968</v>
      </c>
      <c r="O63" s="48"/>
      <c r="P63" s="48"/>
      <c r="Q63" s="48"/>
      <c r="R63" s="48"/>
    </row>
    <row r="64" s="4" customFormat="1" ht="26.1" customHeight="1" spans="1:18">
      <c r="A64" s="40">
        <v>59</v>
      </c>
      <c r="B64" s="41">
        <v>8900042</v>
      </c>
      <c r="C64" s="41" t="s">
        <v>76</v>
      </c>
      <c r="D64" s="41">
        <v>2</v>
      </c>
      <c r="E64" s="42">
        <v>210</v>
      </c>
      <c r="F64" s="42">
        <v>420</v>
      </c>
      <c r="G64" s="43">
        <v>0.951</v>
      </c>
      <c r="H64" s="44">
        <f t="shared" si="0"/>
        <v>399.42</v>
      </c>
      <c r="I64" s="45">
        <v>0.185</v>
      </c>
      <c r="J64" s="46">
        <f t="shared" si="1"/>
        <v>8.92784051764349</v>
      </c>
      <c r="K64" s="46">
        <f t="shared" si="2"/>
        <v>0.0838782</v>
      </c>
      <c r="L64" s="46">
        <f t="shared" si="3"/>
        <v>14.4179901412761</v>
      </c>
      <c r="M64" s="47">
        <f t="shared" si="4"/>
        <v>422.84970885892</v>
      </c>
      <c r="N64" s="46">
        <f t="shared" si="5"/>
        <v>1.00678502109267</v>
      </c>
      <c r="O64" s="48"/>
      <c r="P64" s="48"/>
      <c r="Q64" s="48"/>
      <c r="R64" s="48"/>
    </row>
    <row r="65" s="4" customFormat="1" ht="26.1" customHeight="1" spans="1:18">
      <c r="A65" s="40">
        <v>60</v>
      </c>
      <c r="B65" s="41">
        <v>8978215</v>
      </c>
      <c r="C65" s="41" t="s">
        <v>77</v>
      </c>
      <c r="D65" s="41">
        <v>7</v>
      </c>
      <c r="E65" s="42">
        <v>72</v>
      </c>
      <c r="F65" s="42">
        <v>504</v>
      </c>
      <c r="G65" s="43">
        <v>0.1556</v>
      </c>
      <c r="H65" s="44">
        <f t="shared" si="0"/>
        <v>78.4224</v>
      </c>
      <c r="I65" s="45">
        <v>0.329</v>
      </c>
      <c r="J65" s="46">
        <f t="shared" si="1"/>
        <v>15.8770785421876</v>
      </c>
      <c r="K65" s="46">
        <f t="shared" si="2"/>
        <v>0.016468704</v>
      </c>
      <c r="L65" s="46">
        <f t="shared" si="3"/>
        <v>2.83083819051427</v>
      </c>
      <c r="M65" s="47">
        <f t="shared" si="4"/>
        <v>97.1467854367019</v>
      </c>
      <c r="N65" s="46">
        <f t="shared" si="5"/>
        <v>0.192751558406155</v>
      </c>
      <c r="O65" s="48"/>
      <c r="P65" s="48"/>
      <c r="Q65" s="48"/>
      <c r="R65" s="48"/>
    </row>
    <row r="66" s="4" customFormat="1" ht="26.1" customHeight="1" spans="1:18">
      <c r="A66" s="40">
        <v>61</v>
      </c>
      <c r="B66" s="41">
        <v>9036240</v>
      </c>
      <c r="C66" s="41" t="s">
        <v>78</v>
      </c>
      <c r="D66" s="41">
        <v>2</v>
      </c>
      <c r="E66" s="42">
        <v>50</v>
      </c>
      <c r="F66" s="42">
        <v>100</v>
      </c>
      <c r="G66" s="43">
        <v>2.3055</v>
      </c>
      <c r="H66" s="44">
        <f t="shared" si="0"/>
        <v>230.55</v>
      </c>
      <c r="I66" s="45">
        <v>0.259</v>
      </c>
      <c r="J66" s="46">
        <f t="shared" si="1"/>
        <v>12.4989767247009</v>
      </c>
      <c r="K66" s="46">
        <f t="shared" si="2"/>
        <v>0.0484155</v>
      </c>
      <c r="L66" s="46">
        <f t="shared" si="3"/>
        <v>8.32223631032798</v>
      </c>
      <c r="M66" s="47">
        <f t="shared" si="4"/>
        <v>251.419628535029</v>
      </c>
      <c r="N66" s="46">
        <f t="shared" si="5"/>
        <v>2.51419628535029</v>
      </c>
      <c r="O66" s="48"/>
      <c r="P66" s="48"/>
      <c r="Q66" s="48"/>
      <c r="R66" s="48"/>
    </row>
    <row r="67" s="4" customFormat="1" ht="26.1" customHeight="1" spans="1:18">
      <c r="A67" s="40">
        <v>62</v>
      </c>
      <c r="B67" s="41">
        <v>9036848</v>
      </c>
      <c r="C67" s="41" t="s">
        <v>79</v>
      </c>
      <c r="D67" s="41">
        <v>1</v>
      </c>
      <c r="E67" s="42">
        <v>100</v>
      </c>
      <c r="F67" s="42">
        <v>100</v>
      </c>
      <c r="G67" s="43">
        <v>1.5418</v>
      </c>
      <c r="H67" s="44">
        <f t="shared" si="0"/>
        <v>154.18</v>
      </c>
      <c r="I67" s="45">
        <v>0.111</v>
      </c>
      <c r="J67" s="46">
        <f t="shared" si="1"/>
        <v>5.35670431058609</v>
      </c>
      <c r="K67" s="46">
        <f t="shared" si="2"/>
        <v>0.0323778</v>
      </c>
      <c r="L67" s="46">
        <f t="shared" si="3"/>
        <v>5.56548425212044</v>
      </c>
      <c r="M67" s="47">
        <f t="shared" si="4"/>
        <v>165.134566362707</v>
      </c>
      <c r="N67" s="46">
        <f t="shared" si="5"/>
        <v>1.65134566362707</v>
      </c>
      <c r="O67" s="48"/>
      <c r="P67" s="48"/>
      <c r="Q67" s="48"/>
      <c r="R67" s="48"/>
    </row>
    <row r="68" s="4" customFormat="1" ht="26.1" customHeight="1" spans="1:18">
      <c r="A68" s="40">
        <v>63</v>
      </c>
      <c r="B68" s="41">
        <v>9037408</v>
      </c>
      <c r="C68" s="41" t="s">
        <v>80</v>
      </c>
      <c r="D68" s="41">
        <v>1</v>
      </c>
      <c r="E68" s="42">
        <v>150</v>
      </c>
      <c r="F68" s="42">
        <v>150</v>
      </c>
      <c r="G68" s="43">
        <v>1.2248</v>
      </c>
      <c r="H68" s="44">
        <f t="shared" si="0"/>
        <v>183.72</v>
      </c>
      <c r="I68" s="45">
        <v>0.111</v>
      </c>
      <c r="J68" s="46">
        <f t="shared" si="1"/>
        <v>5.35670431058609</v>
      </c>
      <c r="K68" s="46">
        <f t="shared" si="2"/>
        <v>0.0385812</v>
      </c>
      <c r="L68" s="46">
        <f t="shared" si="3"/>
        <v>6.6317989804097</v>
      </c>
      <c r="M68" s="47">
        <f t="shared" si="4"/>
        <v>195.747084490996</v>
      </c>
      <c r="N68" s="46">
        <f t="shared" si="5"/>
        <v>1.30498056327331</v>
      </c>
      <c r="O68" s="48"/>
      <c r="P68" s="48"/>
      <c r="Q68" s="48"/>
      <c r="R68" s="48"/>
    </row>
    <row r="69" s="4" customFormat="1" ht="26.1" customHeight="1" spans="1:18">
      <c r="A69" s="40">
        <v>64</v>
      </c>
      <c r="B69" s="41">
        <v>9037409</v>
      </c>
      <c r="C69" s="41" t="s">
        <v>81</v>
      </c>
      <c r="D69" s="41">
        <v>2</v>
      </c>
      <c r="E69" s="42">
        <v>90</v>
      </c>
      <c r="F69" s="42">
        <v>180</v>
      </c>
      <c r="G69" s="43">
        <v>1.4986</v>
      </c>
      <c r="H69" s="44">
        <f t="shared" si="0"/>
        <v>269.748</v>
      </c>
      <c r="I69" s="45">
        <v>0.259</v>
      </c>
      <c r="J69" s="46">
        <f t="shared" si="1"/>
        <v>12.4989767247009</v>
      </c>
      <c r="K69" s="46">
        <f t="shared" si="2"/>
        <v>0.05664708</v>
      </c>
      <c r="L69" s="46">
        <f t="shared" si="3"/>
        <v>9.73717892100781</v>
      </c>
      <c r="M69" s="47">
        <f t="shared" si="4"/>
        <v>292.040802725709</v>
      </c>
      <c r="N69" s="46">
        <f t="shared" si="5"/>
        <v>1.62244890403171</v>
      </c>
      <c r="O69" s="48"/>
      <c r="P69" s="48"/>
      <c r="Q69" s="48"/>
      <c r="R69" s="48"/>
    </row>
    <row r="70" s="4" customFormat="1" ht="26.1" customHeight="1" spans="1:18">
      <c r="A70" s="40">
        <v>65</v>
      </c>
      <c r="B70" s="41">
        <v>9039237</v>
      </c>
      <c r="C70" s="41" t="s">
        <v>82</v>
      </c>
      <c r="D70" s="41">
        <v>1</v>
      </c>
      <c r="E70" s="42">
        <v>80</v>
      </c>
      <c r="F70" s="42">
        <v>80</v>
      </c>
      <c r="G70" s="43">
        <v>1.7723</v>
      </c>
      <c r="H70" s="44">
        <f t="shared" si="0"/>
        <v>141.784</v>
      </c>
      <c r="I70" s="45">
        <v>0.090972</v>
      </c>
      <c r="J70" s="46">
        <f t="shared" si="1"/>
        <v>4.39018112200575</v>
      </c>
      <c r="K70" s="46">
        <f t="shared" si="2"/>
        <v>0.02977464</v>
      </c>
      <c r="L70" s="46">
        <f t="shared" si="3"/>
        <v>5.11802191725674</v>
      </c>
      <c r="M70" s="47">
        <f t="shared" si="4"/>
        <v>151.321977679262</v>
      </c>
      <c r="N70" s="46">
        <f t="shared" si="5"/>
        <v>1.89152472099078</v>
      </c>
      <c r="O70" s="48"/>
      <c r="P70" s="48"/>
      <c r="Q70" s="48"/>
      <c r="R70" s="48"/>
    </row>
    <row r="71" s="4" customFormat="1" ht="26.1" customHeight="1" spans="1:18">
      <c r="A71" s="40">
        <v>66</v>
      </c>
      <c r="B71" s="41">
        <v>9039880</v>
      </c>
      <c r="C71" s="41" t="s">
        <v>83</v>
      </c>
      <c r="D71" s="41">
        <v>1</v>
      </c>
      <c r="E71" s="42">
        <v>300</v>
      </c>
      <c r="F71" s="42">
        <v>300</v>
      </c>
      <c r="G71" s="43">
        <v>0.6628</v>
      </c>
      <c r="H71" s="44">
        <f t="shared" ref="H71:H134" si="6">G71*F71</f>
        <v>198.84</v>
      </c>
      <c r="I71" s="45">
        <v>0.090972</v>
      </c>
      <c r="J71" s="46">
        <f t="shared" ref="J71:J134" si="7">I71/$I$5*$J$5</f>
        <v>4.39018112200575</v>
      </c>
      <c r="K71" s="46">
        <f t="shared" ref="K71:K134" si="8">H71/$H$5*$K$5</f>
        <v>0.0417564</v>
      </c>
      <c r="L71" s="46">
        <f t="shared" ref="L71:L134" si="9">H71/$H$5*$L$5</f>
        <v>7.17759040531605</v>
      </c>
      <c r="M71" s="47">
        <f t="shared" ref="M71:M134" si="10">N71*F71</f>
        <v>210.449527927322</v>
      </c>
      <c r="N71" s="46">
        <f t="shared" ref="N71:N134" si="11">SUM(H71+J71+K71+L71)/F71</f>
        <v>0.701498426424406</v>
      </c>
      <c r="O71" s="48"/>
      <c r="P71" s="48"/>
      <c r="Q71" s="48"/>
      <c r="R71" s="48"/>
    </row>
    <row r="72" s="4" customFormat="1" ht="26.1" customHeight="1" spans="1:18">
      <c r="A72" s="40">
        <v>67</v>
      </c>
      <c r="B72" s="41">
        <v>9039881</v>
      </c>
      <c r="C72" s="41" t="s">
        <v>84</v>
      </c>
      <c r="D72" s="41">
        <v>1</v>
      </c>
      <c r="E72" s="42">
        <v>180</v>
      </c>
      <c r="F72" s="42">
        <v>180</v>
      </c>
      <c r="G72" s="43">
        <v>0.9222</v>
      </c>
      <c r="H72" s="44">
        <f t="shared" si="6"/>
        <v>165.996</v>
      </c>
      <c r="I72" s="45">
        <v>0.0925</v>
      </c>
      <c r="J72" s="46">
        <f t="shared" si="7"/>
        <v>4.46392025882174</v>
      </c>
      <c r="K72" s="46">
        <f t="shared" si="8"/>
        <v>0.03485916</v>
      </c>
      <c r="L72" s="46">
        <f t="shared" si="9"/>
        <v>5.99201014343614</v>
      </c>
      <c r="M72" s="47">
        <f t="shared" si="10"/>
        <v>176.486789562258</v>
      </c>
      <c r="N72" s="46">
        <f t="shared" si="11"/>
        <v>0.980482164234766</v>
      </c>
      <c r="O72" s="48"/>
      <c r="P72" s="48"/>
      <c r="Q72" s="48"/>
      <c r="R72" s="48"/>
    </row>
    <row r="73" s="4" customFormat="1" ht="26.1" customHeight="1" spans="1:18">
      <c r="A73" s="40">
        <v>68</v>
      </c>
      <c r="B73" s="41">
        <v>9055345</v>
      </c>
      <c r="C73" s="41" t="s">
        <v>85</v>
      </c>
      <c r="D73" s="41">
        <v>2</v>
      </c>
      <c r="E73" s="42">
        <v>120</v>
      </c>
      <c r="F73" s="42">
        <v>240</v>
      </c>
      <c r="G73" s="43">
        <v>2.0173</v>
      </c>
      <c r="H73" s="44">
        <f t="shared" si="6"/>
        <v>484.152</v>
      </c>
      <c r="I73" s="45">
        <v>0.3256</v>
      </c>
      <c r="J73" s="46">
        <f t="shared" si="7"/>
        <v>15.7129993110525</v>
      </c>
      <c r="K73" s="46">
        <f t="shared" si="8"/>
        <v>0.10167192</v>
      </c>
      <c r="L73" s="46">
        <f t="shared" si="9"/>
        <v>17.4765879597394</v>
      </c>
      <c r="M73" s="47">
        <f t="shared" si="10"/>
        <v>517.443259190792</v>
      </c>
      <c r="N73" s="46">
        <f t="shared" si="11"/>
        <v>2.15601357996163</v>
      </c>
      <c r="O73" s="48"/>
      <c r="P73" s="48"/>
      <c r="Q73" s="48"/>
      <c r="R73" s="48"/>
    </row>
    <row r="74" s="4" customFormat="1" ht="26.1" customHeight="1" spans="1:18">
      <c r="A74" s="40">
        <v>69</v>
      </c>
      <c r="B74" s="41">
        <v>8978148</v>
      </c>
      <c r="C74" s="41" t="s">
        <v>86</v>
      </c>
      <c r="D74" s="41">
        <v>2</v>
      </c>
      <c r="E74" s="42">
        <v>96</v>
      </c>
      <c r="F74" s="42">
        <v>192</v>
      </c>
      <c r="G74" s="43">
        <v>0.2089</v>
      </c>
      <c r="H74" s="44">
        <f t="shared" si="6"/>
        <v>40.1088</v>
      </c>
      <c r="I74" s="45">
        <v>0.238392</v>
      </c>
      <c r="J74" s="46">
        <f t="shared" si="7"/>
        <v>11.5044635496328</v>
      </c>
      <c r="K74" s="46">
        <f t="shared" si="8"/>
        <v>0.008422848</v>
      </c>
      <c r="L74" s="46">
        <f t="shared" si="9"/>
        <v>1.44782004651348</v>
      </c>
      <c r="M74" s="47">
        <f t="shared" si="10"/>
        <v>53.0695064441463</v>
      </c>
      <c r="N74" s="46">
        <f t="shared" si="11"/>
        <v>0.276403679396595</v>
      </c>
      <c r="O74" s="48"/>
      <c r="P74" s="48"/>
      <c r="Q74" s="48"/>
      <c r="R74" s="48"/>
    </row>
    <row r="75" s="4" customFormat="1" ht="26.1" customHeight="1" spans="1:18">
      <c r="A75" s="40">
        <v>70</v>
      </c>
      <c r="B75" s="41">
        <v>8978147</v>
      </c>
      <c r="C75" s="41" t="s">
        <v>87</v>
      </c>
      <c r="D75" s="41">
        <v>3</v>
      </c>
      <c r="E75" s="42">
        <v>100</v>
      </c>
      <c r="F75" s="42">
        <v>300</v>
      </c>
      <c r="G75" s="43">
        <v>0.1081</v>
      </c>
      <c r="H75" s="44">
        <f t="shared" si="6"/>
        <v>32.43</v>
      </c>
      <c r="I75" s="45">
        <v>0.255</v>
      </c>
      <c r="J75" s="46">
        <f t="shared" si="7"/>
        <v>12.3059423351302</v>
      </c>
      <c r="K75" s="46">
        <f t="shared" si="8"/>
        <v>0.0068103</v>
      </c>
      <c r="L75" s="46">
        <f t="shared" si="9"/>
        <v>1.17063597286461</v>
      </c>
      <c r="M75" s="47">
        <f t="shared" si="10"/>
        <v>45.9133886079948</v>
      </c>
      <c r="N75" s="46">
        <f t="shared" si="11"/>
        <v>0.153044628693316</v>
      </c>
      <c r="O75" s="48"/>
      <c r="P75" s="48"/>
      <c r="Q75" s="48"/>
      <c r="R75" s="48"/>
    </row>
    <row r="76" s="4" customFormat="1" ht="26.1" customHeight="1" spans="1:18">
      <c r="A76" s="40">
        <v>71</v>
      </c>
      <c r="B76" s="41">
        <v>8955028</v>
      </c>
      <c r="C76" s="41" t="s">
        <v>88</v>
      </c>
      <c r="D76" s="41">
        <v>2</v>
      </c>
      <c r="E76" s="42">
        <v>240</v>
      </c>
      <c r="F76" s="42">
        <v>480</v>
      </c>
      <c r="G76" s="43">
        <v>0.3458</v>
      </c>
      <c r="H76" s="44">
        <f t="shared" si="6"/>
        <v>165.984</v>
      </c>
      <c r="I76" s="45">
        <v>0.39464</v>
      </c>
      <c r="J76" s="46">
        <f t="shared" si="7"/>
        <v>19.0447728750423</v>
      </c>
      <c r="K76" s="46">
        <f t="shared" si="8"/>
        <v>0.03485664</v>
      </c>
      <c r="L76" s="46">
        <f t="shared" si="9"/>
        <v>5.9915769756386</v>
      </c>
      <c r="M76" s="47">
        <f t="shared" si="10"/>
        <v>191.055206490681</v>
      </c>
      <c r="N76" s="46">
        <f t="shared" si="11"/>
        <v>0.398031680188918</v>
      </c>
      <c r="O76" s="48"/>
      <c r="P76" s="48"/>
      <c r="Q76" s="48"/>
      <c r="R76" s="48"/>
    </row>
    <row r="77" s="4" customFormat="1" ht="26.1" customHeight="1" spans="1:18">
      <c r="A77" s="40">
        <v>72</v>
      </c>
      <c r="B77" s="41">
        <v>8920377</v>
      </c>
      <c r="C77" s="41" t="s">
        <v>89</v>
      </c>
      <c r="D77" s="41">
        <v>1</v>
      </c>
      <c r="E77" s="42">
        <v>600</v>
      </c>
      <c r="F77" s="42">
        <v>600</v>
      </c>
      <c r="G77" s="43">
        <v>0.1657</v>
      </c>
      <c r="H77" s="44">
        <f t="shared" si="6"/>
        <v>99.42</v>
      </c>
      <c r="I77" s="45">
        <v>0.096</v>
      </c>
      <c r="J77" s="46">
        <f t="shared" si="7"/>
        <v>4.63282534969608</v>
      </c>
      <c r="K77" s="46">
        <f t="shared" si="8"/>
        <v>0.0208782</v>
      </c>
      <c r="L77" s="46">
        <f t="shared" si="9"/>
        <v>3.58879520265802</v>
      </c>
      <c r="M77" s="47">
        <f t="shared" si="10"/>
        <v>107.662498752354</v>
      </c>
      <c r="N77" s="46">
        <f t="shared" si="11"/>
        <v>0.17943749792059</v>
      </c>
      <c r="O77" s="48"/>
      <c r="P77" s="48"/>
      <c r="Q77" s="48"/>
      <c r="R77" s="48"/>
    </row>
    <row r="78" s="4" customFormat="1" ht="26.1" customHeight="1" spans="1:18">
      <c r="A78" s="40">
        <v>73</v>
      </c>
      <c r="B78" s="41">
        <v>8920378</v>
      </c>
      <c r="C78" s="41" t="s">
        <v>90</v>
      </c>
      <c r="D78" s="41">
        <v>1</v>
      </c>
      <c r="E78" s="42">
        <v>400</v>
      </c>
      <c r="F78" s="42">
        <v>400</v>
      </c>
      <c r="G78" s="43">
        <v>0.2954</v>
      </c>
      <c r="H78" s="44">
        <f t="shared" si="6"/>
        <v>118.16</v>
      </c>
      <c r="I78" s="45">
        <v>0.096</v>
      </c>
      <c r="J78" s="46">
        <f t="shared" si="7"/>
        <v>4.63282534969608</v>
      </c>
      <c r="K78" s="46">
        <f t="shared" si="8"/>
        <v>0.0248136</v>
      </c>
      <c r="L78" s="46">
        <f t="shared" si="9"/>
        <v>4.26525891315703</v>
      </c>
      <c r="M78" s="47">
        <f t="shared" si="10"/>
        <v>127.082897862853</v>
      </c>
      <c r="N78" s="46">
        <f t="shared" si="11"/>
        <v>0.317707244657133</v>
      </c>
      <c r="O78" s="48"/>
      <c r="P78" s="48"/>
      <c r="Q78" s="48"/>
      <c r="R78" s="48"/>
    </row>
    <row r="79" s="4" customFormat="1" ht="26.1" customHeight="1" spans="1:18">
      <c r="A79" s="40">
        <v>74</v>
      </c>
      <c r="B79" s="41">
        <v>9059311</v>
      </c>
      <c r="C79" s="41" t="s">
        <v>91</v>
      </c>
      <c r="D79" s="41">
        <v>1</v>
      </c>
      <c r="E79" s="42">
        <v>600</v>
      </c>
      <c r="F79" s="42">
        <v>600</v>
      </c>
      <c r="G79" s="43">
        <v>0.3674</v>
      </c>
      <c r="H79" s="44">
        <f t="shared" si="6"/>
        <v>220.44</v>
      </c>
      <c r="I79" s="45">
        <v>0.12</v>
      </c>
      <c r="J79" s="46">
        <f t="shared" si="7"/>
        <v>5.7910316871201</v>
      </c>
      <c r="K79" s="46">
        <f t="shared" si="8"/>
        <v>0.0462924</v>
      </c>
      <c r="L79" s="46">
        <f t="shared" si="9"/>
        <v>7.95729244089655</v>
      </c>
      <c r="M79" s="47">
        <f t="shared" si="10"/>
        <v>234.234616528017</v>
      </c>
      <c r="N79" s="46">
        <f t="shared" si="11"/>
        <v>0.390391027546694</v>
      </c>
      <c r="O79" s="48"/>
      <c r="P79" s="48"/>
      <c r="Q79" s="48"/>
      <c r="R79" s="48"/>
    </row>
    <row r="80" s="4" customFormat="1" ht="26.1" customHeight="1" spans="1:18">
      <c r="A80" s="40">
        <v>75</v>
      </c>
      <c r="B80" s="41">
        <v>9035047</v>
      </c>
      <c r="C80" s="41" t="s">
        <v>92</v>
      </c>
      <c r="D80" s="41">
        <v>5</v>
      </c>
      <c r="E80" s="42">
        <v>50</v>
      </c>
      <c r="F80" s="42">
        <v>250</v>
      </c>
      <c r="G80" s="43">
        <v>1.8012</v>
      </c>
      <c r="H80" s="44">
        <f t="shared" si="6"/>
        <v>450.3</v>
      </c>
      <c r="I80" s="45">
        <v>0.806</v>
      </c>
      <c r="J80" s="46">
        <f t="shared" si="7"/>
        <v>38.89642949849</v>
      </c>
      <c r="K80" s="46">
        <f t="shared" si="8"/>
        <v>0.094563</v>
      </c>
      <c r="L80" s="46">
        <f t="shared" si="9"/>
        <v>16.2546216028657</v>
      </c>
      <c r="M80" s="47">
        <f t="shared" si="10"/>
        <v>505.545614101356</v>
      </c>
      <c r="N80" s="46">
        <f t="shared" si="11"/>
        <v>2.02218245640542</v>
      </c>
      <c r="O80" s="48"/>
      <c r="P80" s="48"/>
      <c r="Q80" s="48"/>
      <c r="R80" s="48"/>
    </row>
    <row r="81" s="4" customFormat="1" ht="26.1" customHeight="1" spans="1:18">
      <c r="A81" s="40">
        <v>76</v>
      </c>
      <c r="B81" s="41">
        <v>9038556</v>
      </c>
      <c r="C81" s="41" t="s">
        <v>93</v>
      </c>
      <c r="D81" s="41">
        <v>7</v>
      </c>
      <c r="E81" s="42">
        <v>48</v>
      </c>
      <c r="F81" s="42">
        <v>336</v>
      </c>
      <c r="G81" s="43">
        <v>1.9452</v>
      </c>
      <c r="H81" s="44">
        <f t="shared" si="6"/>
        <v>653.5872</v>
      </c>
      <c r="I81" s="45">
        <v>1.6632</v>
      </c>
      <c r="J81" s="46">
        <f t="shared" si="7"/>
        <v>80.2636991834846</v>
      </c>
      <c r="K81" s="46">
        <f t="shared" si="8"/>
        <v>0.137253312</v>
      </c>
      <c r="L81" s="46">
        <f t="shared" si="9"/>
        <v>23.5927439939518</v>
      </c>
      <c r="M81" s="47">
        <f t="shared" si="10"/>
        <v>757.580896489437</v>
      </c>
      <c r="N81" s="46">
        <f t="shared" si="11"/>
        <v>2.2547050490757</v>
      </c>
      <c r="O81" s="48"/>
      <c r="P81" s="48"/>
      <c r="Q81" s="48"/>
      <c r="R81" s="48"/>
    </row>
    <row r="82" s="4" customFormat="1" ht="26.1" customHeight="1" spans="1:18">
      <c r="A82" s="40">
        <v>77</v>
      </c>
      <c r="B82" s="41">
        <v>9038980</v>
      </c>
      <c r="C82" s="41" t="s">
        <v>94</v>
      </c>
      <c r="D82" s="41">
        <v>4</v>
      </c>
      <c r="E82" s="42">
        <v>96</v>
      </c>
      <c r="F82" s="42">
        <v>384</v>
      </c>
      <c r="G82" s="43">
        <v>1.0519</v>
      </c>
      <c r="H82" s="44">
        <f t="shared" si="6"/>
        <v>403.9296</v>
      </c>
      <c r="I82" s="45">
        <v>1.2138</v>
      </c>
      <c r="J82" s="46">
        <f t="shared" si="7"/>
        <v>58.5762855152198</v>
      </c>
      <c r="K82" s="46">
        <f t="shared" si="8"/>
        <v>0.084825216</v>
      </c>
      <c r="L82" s="46">
        <f t="shared" si="9"/>
        <v>14.5807745995934</v>
      </c>
      <c r="M82" s="47">
        <f t="shared" si="10"/>
        <v>477.171485330813</v>
      </c>
      <c r="N82" s="46">
        <f t="shared" si="11"/>
        <v>1.24263407638233</v>
      </c>
      <c r="O82" s="48"/>
      <c r="P82" s="48"/>
      <c r="Q82" s="48"/>
      <c r="R82" s="48"/>
    </row>
    <row r="83" s="4" customFormat="1" ht="26.1" customHeight="1" spans="1:18">
      <c r="A83" s="40">
        <v>78</v>
      </c>
      <c r="B83" s="41">
        <v>9005313</v>
      </c>
      <c r="C83" s="41" t="s">
        <v>95</v>
      </c>
      <c r="D83" s="41">
        <v>3</v>
      </c>
      <c r="E83" s="42">
        <v>180</v>
      </c>
      <c r="F83" s="42">
        <v>540</v>
      </c>
      <c r="G83" s="43">
        <v>0.562</v>
      </c>
      <c r="H83" s="44">
        <f t="shared" si="6"/>
        <v>303.48</v>
      </c>
      <c r="I83" s="45">
        <v>0.36</v>
      </c>
      <c r="J83" s="46">
        <f t="shared" si="7"/>
        <v>17.3730950613603</v>
      </c>
      <c r="K83" s="46">
        <f t="shared" si="8"/>
        <v>0.0637308</v>
      </c>
      <c r="L83" s="46">
        <f t="shared" si="9"/>
        <v>10.954813599906</v>
      </c>
      <c r="M83" s="47">
        <f t="shared" si="10"/>
        <v>331.871639461266</v>
      </c>
      <c r="N83" s="46">
        <f t="shared" si="11"/>
        <v>0.614577110113456</v>
      </c>
      <c r="O83" s="48"/>
      <c r="P83" s="48"/>
      <c r="Q83" s="48"/>
      <c r="R83" s="48"/>
    </row>
    <row r="84" s="4" customFormat="1" ht="26.1" customHeight="1" spans="1:18">
      <c r="A84" s="40">
        <v>79</v>
      </c>
      <c r="B84" s="41">
        <v>9005318</v>
      </c>
      <c r="C84" s="41" t="s">
        <v>96</v>
      </c>
      <c r="D84" s="41">
        <v>4</v>
      </c>
      <c r="E84" s="42">
        <v>120</v>
      </c>
      <c r="F84" s="42">
        <v>480</v>
      </c>
      <c r="G84" s="43">
        <v>0.9366</v>
      </c>
      <c r="H84" s="44">
        <f t="shared" si="6"/>
        <v>449.568</v>
      </c>
      <c r="I84" s="45">
        <v>0.4</v>
      </c>
      <c r="J84" s="46">
        <f t="shared" si="7"/>
        <v>19.303438957067</v>
      </c>
      <c r="K84" s="46">
        <f t="shared" si="8"/>
        <v>0.09440928</v>
      </c>
      <c r="L84" s="46">
        <f t="shared" si="9"/>
        <v>16.2281983672155</v>
      </c>
      <c r="M84" s="47">
        <f t="shared" si="10"/>
        <v>485.194046604282</v>
      </c>
      <c r="N84" s="46">
        <f t="shared" si="11"/>
        <v>1.01082093042559</v>
      </c>
      <c r="O84" s="48"/>
      <c r="P84" s="48"/>
      <c r="Q84" s="48"/>
      <c r="R84" s="48"/>
    </row>
    <row r="85" s="4" customFormat="1" ht="26.1" customHeight="1" spans="1:18">
      <c r="A85" s="40">
        <v>80</v>
      </c>
      <c r="B85" s="41">
        <v>8950202</v>
      </c>
      <c r="C85" s="41" t="s">
        <v>97</v>
      </c>
      <c r="D85" s="41">
        <v>2</v>
      </c>
      <c r="E85" s="42">
        <v>48</v>
      </c>
      <c r="F85" s="42">
        <v>96</v>
      </c>
      <c r="G85" s="43">
        <v>0.6916</v>
      </c>
      <c r="H85" s="44">
        <f t="shared" si="6"/>
        <v>66.3936</v>
      </c>
      <c r="I85" s="45">
        <v>0.0599</v>
      </c>
      <c r="J85" s="46">
        <f t="shared" si="7"/>
        <v>2.89068998382078</v>
      </c>
      <c r="K85" s="46">
        <f t="shared" si="8"/>
        <v>0.013942656</v>
      </c>
      <c r="L85" s="46">
        <f t="shared" si="9"/>
        <v>2.39663079025544</v>
      </c>
      <c r="M85" s="47">
        <f t="shared" si="10"/>
        <v>71.6948634300762</v>
      </c>
      <c r="N85" s="46">
        <f t="shared" si="11"/>
        <v>0.746821494063294</v>
      </c>
      <c r="O85" s="48"/>
      <c r="P85" s="48"/>
      <c r="Q85" s="48"/>
      <c r="R85" s="48"/>
    </row>
    <row r="86" s="4" customFormat="1" ht="26.1" customHeight="1" spans="1:18">
      <c r="A86" s="40">
        <v>81</v>
      </c>
      <c r="B86" s="41">
        <v>8950799</v>
      </c>
      <c r="C86" s="41" t="s">
        <v>98</v>
      </c>
      <c r="D86" s="41">
        <v>10</v>
      </c>
      <c r="E86" s="42">
        <v>48</v>
      </c>
      <c r="F86" s="42">
        <v>480</v>
      </c>
      <c r="G86" s="43">
        <v>0.6916</v>
      </c>
      <c r="H86" s="44">
        <f t="shared" si="6"/>
        <v>331.968</v>
      </c>
      <c r="I86" s="45">
        <v>0.3653</v>
      </c>
      <c r="J86" s="46">
        <f t="shared" si="7"/>
        <v>17.6288656275414</v>
      </c>
      <c r="K86" s="46">
        <f t="shared" si="8"/>
        <v>0.06971328</v>
      </c>
      <c r="L86" s="46">
        <f t="shared" si="9"/>
        <v>11.9831539512772</v>
      </c>
      <c r="M86" s="47">
        <f t="shared" si="10"/>
        <v>361.649732858819</v>
      </c>
      <c r="N86" s="46">
        <f t="shared" si="11"/>
        <v>0.753436943455872</v>
      </c>
      <c r="O86" s="48"/>
      <c r="P86" s="48"/>
      <c r="Q86" s="48"/>
      <c r="R86" s="48"/>
    </row>
    <row r="87" s="4" customFormat="1" ht="26.1" customHeight="1" spans="1:18">
      <c r="A87" s="40">
        <v>82</v>
      </c>
      <c r="B87" s="41">
        <v>8950800</v>
      </c>
      <c r="C87" s="41" t="s">
        <v>99</v>
      </c>
      <c r="D87" s="41">
        <v>6</v>
      </c>
      <c r="E87" s="42">
        <v>48</v>
      </c>
      <c r="F87" s="42">
        <v>288</v>
      </c>
      <c r="G87" s="43">
        <v>0.8357</v>
      </c>
      <c r="H87" s="44">
        <f t="shared" si="6"/>
        <v>240.6816</v>
      </c>
      <c r="I87" s="45">
        <v>0.15696</v>
      </c>
      <c r="J87" s="46">
        <f t="shared" si="7"/>
        <v>7.57466944675309</v>
      </c>
      <c r="K87" s="46">
        <f t="shared" si="8"/>
        <v>0.050543136</v>
      </c>
      <c r="L87" s="46">
        <f t="shared" si="9"/>
        <v>8.68795988179498</v>
      </c>
      <c r="M87" s="47">
        <f t="shared" si="10"/>
        <v>256.994772464548</v>
      </c>
      <c r="N87" s="46">
        <f t="shared" si="11"/>
        <v>0.892342959946347</v>
      </c>
      <c r="O87" s="48"/>
      <c r="P87" s="48"/>
      <c r="Q87" s="48"/>
      <c r="R87" s="48"/>
    </row>
    <row r="88" s="4" customFormat="1" ht="26.1" customHeight="1" spans="1:18">
      <c r="A88" s="40">
        <v>83</v>
      </c>
      <c r="B88" s="41">
        <v>8950805</v>
      </c>
      <c r="C88" s="41" t="s">
        <v>100</v>
      </c>
      <c r="D88" s="41">
        <v>18</v>
      </c>
      <c r="E88" s="42">
        <v>24</v>
      </c>
      <c r="F88" s="42">
        <v>432</v>
      </c>
      <c r="G88" s="43">
        <v>1.1527</v>
      </c>
      <c r="H88" s="44">
        <f t="shared" si="6"/>
        <v>497.9664</v>
      </c>
      <c r="I88" s="45">
        <v>0.99054</v>
      </c>
      <c r="J88" s="46">
        <f t="shared" si="7"/>
        <v>47.8020710613329</v>
      </c>
      <c r="K88" s="46">
        <f t="shared" si="8"/>
        <v>0.104572944</v>
      </c>
      <c r="L88" s="46">
        <f t="shared" si="9"/>
        <v>17.9752507282728</v>
      </c>
      <c r="M88" s="47">
        <f t="shared" si="10"/>
        <v>563.848294733606</v>
      </c>
      <c r="N88" s="46">
        <f t="shared" si="11"/>
        <v>1.30520438595742</v>
      </c>
      <c r="O88" s="48"/>
      <c r="P88" s="48"/>
      <c r="Q88" s="48"/>
      <c r="R88" s="48"/>
    </row>
    <row r="89" s="4" customFormat="1" ht="26.1" customHeight="1" spans="1:18">
      <c r="A89" s="40">
        <v>84</v>
      </c>
      <c r="B89" s="41">
        <v>8954414</v>
      </c>
      <c r="C89" s="41" t="s">
        <v>101</v>
      </c>
      <c r="D89" s="41">
        <v>6</v>
      </c>
      <c r="E89" s="42">
        <v>144</v>
      </c>
      <c r="F89" s="42">
        <v>864</v>
      </c>
      <c r="G89" s="43">
        <v>0.4035</v>
      </c>
      <c r="H89" s="44">
        <f t="shared" si="6"/>
        <v>348.624</v>
      </c>
      <c r="I89" s="45">
        <v>0.12816</v>
      </c>
      <c r="J89" s="46">
        <f t="shared" si="7"/>
        <v>6.18482184184427</v>
      </c>
      <c r="K89" s="46">
        <f t="shared" si="8"/>
        <v>0.07321104</v>
      </c>
      <c r="L89" s="46">
        <f t="shared" si="9"/>
        <v>12.5843908542693</v>
      </c>
      <c r="M89" s="47">
        <f t="shared" si="10"/>
        <v>367.466423736114</v>
      </c>
      <c r="N89" s="46">
        <f t="shared" si="11"/>
        <v>0.425308360805687</v>
      </c>
      <c r="O89" s="48"/>
      <c r="P89" s="48"/>
      <c r="Q89" s="48"/>
      <c r="R89" s="48"/>
    </row>
    <row r="90" s="4" customFormat="1" ht="26.1" customHeight="1" spans="1:18">
      <c r="A90" s="40">
        <v>85</v>
      </c>
      <c r="B90" s="41">
        <v>8954418</v>
      </c>
      <c r="C90" s="41" t="s">
        <v>102</v>
      </c>
      <c r="D90" s="41">
        <v>6</v>
      </c>
      <c r="E90" s="42">
        <v>48</v>
      </c>
      <c r="F90" s="42">
        <v>288</v>
      </c>
      <c r="G90" s="43">
        <v>0.7133</v>
      </c>
      <c r="H90" s="44">
        <f t="shared" si="6"/>
        <v>205.4304</v>
      </c>
      <c r="I90" s="45">
        <v>0.16008</v>
      </c>
      <c r="J90" s="46">
        <f t="shared" si="7"/>
        <v>7.72523627061822</v>
      </c>
      <c r="K90" s="46">
        <f t="shared" si="8"/>
        <v>0.043140384</v>
      </c>
      <c r="L90" s="46">
        <f t="shared" si="9"/>
        <v>7.41548615972761</v>
      </c>
      <c r="M90" s="47">
        <f t="shared" si="10"/>
        <v>220.614262814346</v>
      </c>
      <c r="N90" s="46">
        <f t="shared" si="11"/>
        <v>0.766021745883145</v>
      </c>
      <c r="O90" s="48"/>
      <c r="P90" s="48"/>
      <c r="Q90" s="48"/>
      <c r="R90" s="48"/>
    </row>
    <row r="91" s="4" customFormat="1" ht="26.1" customHeight="1" spans="1:18">
      <c r="A91" s="40">
        <v>86</v>
      </c>
      <c r="B91" s="41">
        <v>9048668</v>
      </c>
      <c r="C91" s="41" t="s">
        <v>103</v>
      </c>
      <c r="D91" s="41">
        <v>11</v>
      </c>
      <c r="E91" s="42">
        <v>120</v>
      </c>
      <c r="F91" s="42">
        <v>1320</v>
      </c>
      <c r="G91" s="43">
        <v>0.2277</v>
      </c>
      <c r="H91" s="44">
        <f t="shared" si="6"/>
        <v>300.564</v>
      </c>
      <c r="I91" s="45">
        <v>0.65934</v>
      </c>
      <c r="J91" s="46">
        <f t="shared" si="7"/>
        <v>31.8188236048814</v>
      </c>
      <c r="K91" s="46">
        <f t="shared" si="8"/>
        <v>0.06311844</v>
      </c>
      <c r="L91" s="46">
        <f t="shared" si="9"/>
        <v>10.8495538251027</v>
      </c>
      <c r="M91" s="47">
        <f t="shared" si="10"/>
        <v>343.295495869984</v>
      </c>
      <c r="N91" s="46">
        <f t="shared" si="11"/>
        <v>0.260072345356049</v>
      </c>
      <c r="O91" s="48"/>
      <c r="P91" s="48"/>
      <c r="Q91" s="48"/>
      <c r="R91" s="48"/>
    </row>
    <row r="92" s="4" customFormat="1" ht="26.1" customHeight="1" spans="1:18">
      <c r="A92" s="40">
        <v>87</v>
      </c>
      <c r="B92" s="41">
        <v>9048985</v>
      </c>
      <c r="C92" s="41" t="s">
        <v>104</v>
      </c>
      <c r="D92" s="41">
        <v>1</v>
      </c>
      <c r="E92" s="42">
        <v>240</v>
      </c>
      <c r="F92" s="42">
        <v>240</v>
      </c>
      <c r="G92" s="43">
        <v>0.1787</v>
      </c>
      <c r="H92" s="44">
        <f t="shared" si="6"/>
        <v>42.888</v>
      </c>
      <c r="I92" s="45">
        <v>0.0507</v>
      </c>
      <c r="J92" s="46">
        <f t="shared" si="7"/>
        <v>2.44671088780824</v>
      </c>
      <c r="K92" s="46">
        <f t="shared" si="8"/>
        <v>0.00900648</v>
      </c>
      <c r="L92" s="46">
        <f t="shared" si="9"/>
        <v>1.54814170842484</v>
      </c>
      <c r="M92" s="47">
        <f t="shared" si="10"/>
        <v>46.8918590762331</v>
      </c>
      <c r="N92" s="46">
        <f t="shared" si="11"/>
        <v>0.195382746150971</v>
      </c>
      <c r="O92" s="48"/>
      <c r="P92" s="48"/>
      <c r="Q92" s="48"/>
      <c r="R92" s="48"/>
    </row>
    <row r="93" s="4" customFormat="1" ht="26.1" customHeight="1" spans="1:18">
      <c r="A93" s="40">
        <v>88</v>
      </c>
      <c r="B93" s="41">
        <v>9048986</v>
      </c>
      <c r="C93" s="41" t="s">
        <v>105</v>
      </c>
      <c r="D93" s="41">
        <v>3</v>
      </c>
      <c r="E93" s="42">
        <v>120</v>
      </c>
      <c r="F93" s="42">
        <v>360</v>
      </c>
      <c r="G93" s="43">
        <v>0.2392</v>
      </c>
      <c r="H93" s="44">
        <f t="shared" si="6"/>
        <v>86.112</v>
      </c>
      <c r="I93" s="45">
        <v>0.18648</v>
      </c>
      <c r="J93" s="46">
        <f t="shared" si="7"/>
        <v>8.99926324178464</v>
      </c>
      <c r="K93" s="46">
        <f t="shared" si="8"/>
        <v>0.01808352</v>
      </c>
      <c r="L93" s="46">
        <f t="shared" si="9"/>
        <v>3.10841211518093</v>
      </c>
      <c r="M93" s="47">
        <f t="shared" si="10"/>
        <v>98.2377588769656</v>
      </c>
      <c r="N93" s="46">
        <f t="shared" si="11"/>
        <v>0.272882663547127</v>
      </c>
      <c r="O93" s="48"/>
      <c r="P93" s="48"/>
      <c r="Q93" s="48"/>
      <c r="R93" s="48"/>
    </row>
    <row r="94" s="4" customFormat="1" ht="26.1" customHeight="1" spans="1:18">
      <c r="A94" s="40">
        <v>89</v>
      </c>
      <c r="B94" s="41">
        <v>9048987</v>
      </c>
      <c r="C94" s="41" t="s">
        <v>106</v>
      </c>
      <c r="D94" s="41">
        <v>1</v>
      </c>
      <c r="E94" s="42">
        <v>240</v>
      </c>
      <c r="F94" s="42">
        <v>240</v>
      </c>
      <c r="G94" s="43">
        <v>0.1801</v>
      </c>
      <c r="H94" s="44">
        <f t="shared" si="6"/>
        <v>43.224</v>
      </c>
      <c r="I94" s="45">
        <v>0.0507</v>
      </c>
      <c r="J94" s="46">
        <f t="shared" si="7"/>
        <v>2.44671088780824</v>
      </c>
      <c r="K94" s="46">
        <f t="shared" si="8"/>
        <v>0.00907704</v>
      </c>
      <c r="L94" s="46">
        <f t="shared" si="9"/>
        <v>1.56027040675609</v>
      </c>
      <c r="M94" s="47">
        <f t="shared" si="10"/>
        <v>47.2400583345643</v>
      </c>
      <c r="N94" s="46">
        <f t="shared" si="11"/>
        <v>0.196833576394018</v>
      </c>
      <c r="O94" s="48"/>
      <c r="P94" s="48"/>
      <c r="Q94" s="48"/>
      <c r="R94" s="48"/>
    </row>
    <row r="95" s="4" customFormat="1" ht="26.1" customHeight="1" spans="1:18">
      <c r="A95" s="40">
        <v>90</v>
      </c>
      <c r="B95" s="41">
        <v>9048988</v>
      </c>
      <c r="C95" s="41" t="s">
        <v>107</v>
      </c>
      <c r="D95" s="41">
        <v>1</v>
      </c>
      <c r="E95" s="42">
        <v>120</v>
      </c>
      <c r="F95" s="42">
        <v>120</v>
      </c>
      <c r="G95" s="43">
        <v>0.2579</v>
      </c>
      <c r="H95" s="44">
        <f t="shared" si="6"/>
        <v>30.948</v>
      </c>
      <c r="I95" s="45">
        <v>0.06216</v>
      </c>
      <c r="J95" s="46">
        <f t="shared" si="7"/>
        <v>2.99975441392821</v>
      </c>
      <c r="K95" s="46">
        <f t="shared" si="8"/>
        <v>0.00649908</v>
      </c>
      <c r="L95" s="46">
        <f t="shared" si="9"/>
        <v>1.11713974986784</v>
      </c>
      <c r="M95" s="47">
        <f t="shared" si="10"/>
        <v>35.0713932437961</v>
      </c>
      <c r="N95" s="46">
        <f t="shared" si="11"/>
        <v>0.292261610364967</v>
      </c>
      <c r="O95" s="48"/>
      <c r="P95" s="48"/>
      <c r="Q95" s="48"/>
      <c r="R95" s="48"/>
    </row>
    <row r="96" s="4" customFormat="1" ht="26.1" customHeight="1" spans="1:18">
      <c r="A96" s="40">
        <v>91</v>
      </c>
      <c r="B96" s="41">
        <v>9048989</v>
      </c>
      <c r="C96" s="41" t="s">
        <v>108</v>
      </c>
      <c r="D96" s="41">
        <v>1</v>
      </c>
      <c r="E96" s="42">
        <v>120</v>
      </c>
      <c r="F96" s="42">
        <v>120</v>
      </c>
      <c r="G96" s="43">
        <v>0.2853</v>
      </c>
      <c r="H96" s="44">
        <f t="shared" si="6"/>
        <v>34.236</v>
      </c>
      <c r="I96" s="45">
        <v>0.0576</v>
      </c>
      <c r="J96" s="46">
        <f t="shared" si="7"/>
        <v>2.77969520981765</v>
      </c>
      <c r="K96" s="46">
        <f t="shared" si="8"/>
        <v>0.00718956</v>
      </c>
      <c r="L96" s="46">
        <f t="shared" si="9"/>
        <v>1.23582772639509</v>
      </c>
      <c r="M96" s="47">
        <f t="shared" si="10"/>
        <v>38.2587124962127</v>
      </c>
      <c r="N96" s="46">
        <f t="shared" si="11"/>
        <v>0.318822604135106</v>
      </c>
      <c r="O96" s="48"/>
      <c r="P96" s="48"/>
      <c r="Q96" s="48"/>
      <c r="R96" s="48"/>
    </row>
    <row r="97" s="4" customFormat="1" ht="26.1" customHeight="1" spans="1:18">
      <c r="A97" s="40">
        <v>92</v>
      </c>
      <c r="B97" s="41">
        <v>9048990</v>
      </c>
      <c r="C97" s="41" t="s">
        <v>109</v>
      </c>
      <c r="D97" s="41">
        <v>3</v>
      </c>
      <c r="E97" s="42">
        <v>120</v>
      </c>
      <c r="F97" s="42">
        <v>360</v>
      </c>
      <c r="G97" s="43">
        <v>0.2954</v>
      </c>
      <c r="H97" s="44">
        <f t="shared" si="6"/>
        <v>106.344</v>
      </c>
      <c r="I97" s="45">
        <v>0.20493</v>
      </c>
      <c r="J97" s="46">
        <f t="shared" si="7"/>
        <v>9.88963436367935</v>
      </c>
      <c r="K97" s="46">
        <f t="shared" si="8"/>
        <v>0.02233224</v>
      </c>
      <c r="L97" s="46">
        <f t="shared" si="9"/>
        <v>3.83873302184133</v>
      </c>
      <c r="M97" s="47">
        <f t="shared" si="10"/>
        <v>120.094699625521</v>
      </c>
      <c r="N97" s="46">
        <f t="shared" si="11"/>
        <v>0.333596387848669</v>
      </c>
      <c r="O97" s="48"/>
      <c r="P97" s="48"/>
      <c r="Q97" s="48"/>
      <c r="R97" s="48"/>
    </row>
    <row r="98" s="4" customFormat="1" ht="26.1" customHeight="1" spans="1:18">
      <c r="A98" s="40">
        <v>93</v>
      </c>
      <c r="B98" s="41">
        <v>8978146</v>
      </c>
      <c r="C98" s="41" t="s">
        <v>110</v>
      </c>
      <c r="D98" s="41">
        <v>2</v>
      </c>
      <c r="E98" s="42">
        <v>240</v>
      </c>
      <c r="F98" s="42">
        <v>480</v>
      </c>
      <c r="G98" s="43">
        <v>0.0865</v>
      </c>
      <c r="H98" s="44">
        <f t="shared" si="6"/>
        <v>41.52</v>
      </c>
      <c r="I98" s="45">
        <v>0.24</v>
      </c>
      <c r="J98" s="46">
        <f t="shared" si="7"/>
        <v>11.5820633742402</v>
      </c>
      <c r="K98" s="46">
        <f t="shared" si="8"/>
        <v>0.0087192</v>
      </c>
      <c r="L98" s="46">
        <f t="shared" si="9"/>
        <v>1.49876057950474</v>
      </c>
      <c r="M98" s="47">
        <f t="shared" si="10"/>
        <v>54.6095431537449</v>
      </c>
      <c r="N98" s="46">
        <f t="shared" si="11"/>
        <v>0.113769881570302</v>
      </c>
      <c r="O98" s="48"/>
      <c r="P98" s="48"/>
      <c r="Q98" s="48"/>
      <c r="R98" s="48"/>
    </row>
    <row r="99" s="4" customFormat="1" ht="26.1" customHeight="1" spans="1:18">
      <c r="A99" s="40">
        <v>94</v>
      </c>
      <c r="B99" s="41">
        <v>8950888</v>
      </c>
      <c r="C99" s="41" t="s">
        <v>111</v>
      </c>
      <c r="D99" s="41">
        <v>1</v>
      </c>
      <c r="E99" s="42">
        <v>300</v>
      </c>
      <c r="F99" s="42">
        <v>300</v>
      </c>
      <c r="G99" s="43">
        <v>0.2767</v>
      </c>
      <c r="H99" s="44">
        <f t="shared" si="6"/>
        <v>83.01</v>
      </c>
      <c r="I99" s="45">
        <v>0.106</v>
      </c>
      <c r="J99" s="46">
        <f t="shared" si="7"/>
        <v>5.11541132362276</v>
      </c>
      <c r="K99" s="46">
        <f t="shared" si="8"/>
        <v>0.0174321</v>
      </c>
      <c r="L99" s="46">
        <f t="shared" si="9"/>
        <v>2.99643823951562</v>
      </c>
      <c r="M99" s="47">
        <f t="shared" si="10"/>
        <v>91.1392816631384</v>
      </c>
      <c r="N99" s="46">
        <f t="shared" si="11"/>
        <v>0.303797605543795</v>
      </c>
      <c r="O99" s="48"/>
      <c r="P99" s="48"/>
      <c r="Q99" s="48"/>
      <c r="R99" s="48"/>
    </row>
    <row r="100" s="4" customFormat="1" ht="26.1" customHeight="1" spans="1:18">
      <c r="A100" s="40">
        <v>95</v>
      </c>
      <c r="B100" s="41">
        <v>8950892</v>
      </c>
      <c r="C100" s="41" t="s">
        <v>112</v>
      </c>
      <c r="D100" s="41">
        <v>5</v>
      </c>
      <c r="E100" s="42">
        <v>270</v>
      </c>
      <c r="F100" s="42">
        <v>1350</v>
      </c>
      <c r="G100" s="43">
        <v>0.3689</v>
      </c>
      <c r="H100" s="44">
        <f t="shared" si="6"/>
        <v>498.015</v>
      </c>
      <c r="I100" s="45">
        <v>0.39</v>
      </c>
      <c r="J100" s="46">
        <f t="shared" si="7"/>
        <v>18.8208529831403</v>
      </c>
      <c r="K100" s="46">
        <f t="shared" si="8"/>
        <v>0.10458315</v>
      </c>
      <c r="L100" s="46">
        <f t="shared" si="9"/>
        <v>17.9770050578529</v>
      </c>
      <c r="M100" s="47">
        <f t="shared" si="10"/>
        <v>534.917441190993</v>
      </c>
      <c r="N100" s="46">
        <f t="shared" si="11"/>
        <v>0.396235141622958</v>
      </c>
      <c r="O100" s="48"/>
      <c r="P100" s="48"/>
      <c r="Q100" s="48"/>
      <c r="R100" s="48"/>
    </row>
    <row r="101" s="4" customFormat="1" ht="26.1" customHeight="1" spans="1:18">
      <c r="A101" s="40">
        <v>96</v>
      </c>
      <c r="B101" s="41">
        <v>8951960</v>
      </c>
      <c r="C101" s="41" t="s">
        <v>113</v>
      </c>
      <c r="D101" s="41">
        <v>2</v>
      </c>
      <c r="E101" s="42">
        <v>320</v>
      </c>
      <c r="F101" s="42">
        <v>640</v>
      </c>
      <c r="G101" s="43">
        <v>0.268</v>
      </c>
      <c r="H101" s="44">
        <f t="shared" si="6"/>
        <v>171.52</v>
      </c>
      <c r="I101" s="45">
        <v>0.17</v>
      </c>
      <c r="J101" s="46">
        <f t="shared" si="7"/>
        <v>8.20396155675348</v>
      </c>
      <c r="K101" s="46">
        <f t="shared" si="8"/>
        <v>0.0360192</v>
      </c>
      <c r="L101" s="46">
        <f t="shared" si="9"/>
        <v>6.19141171957256</v>
      </c>
      <c r="M101" s="47">
        <f t="shared" si="10"/>
        <v>185.951392476326</v>
      </c>
      <c r="N101" s="46">
        <f t="shared" si="11"/>
        <v>0.290549050744259</v>
      </c>
      <c r="O101" s="48"/>
      <c r="P101" s="48"/>
      <c r="Q101" s="48"/>
      <c r="R101" s="48"/>
    </row>
    <row r="102" s="4" customFormat="1" ht="26.1" customHeight="1" spans="1:18">
      <c r="A102" s="40">
        <v>97</v>
      </c>
      <c r="B102" s="41">
        <v>8953341</v>
      </c>
      <c r="C102" s="41" t="s">
        <v>114</v>
      </c>
      <c r="D102" s="41">
        <v>1</v>
      </c>
      <c r="E102" s="42">
        <v>300</v>
      </c>
      <c r="F102" s="42">
        <v>300</v>
      </c>
      <c r="G102" s="43">
        <v>0.3026</v>
      </c>
      <c r="H102" s="44">
        <f t="shared" si="6"/>
        <v>90.78</v>
      </c>
      <c r="I102" s="45">
        <v>0.132</v>
      </c>
      <c r="J102" s="46">
        <f t="shared" si="7"/>
        <v>6.37013485583211</v>
      </c>
      <c r="K102" s="46">
        <f t="shared" si="8"/>
        <v>0.0190638</v>
      </c>
      <c r="L102" s="46">
        <f t="shared" si="9"/>
        <v>3.27691438842582</v>
      </c>
      <c r="M102" s="47">
        <f t="shared" si="10"/>
        <v>100.446113044258</v>
      </c>
      <c r="N102" s="46">
        <f t="shared" si="11"/>
        <v>0.334820376814193</v>
      </c>
      <c r="O102" s="48"/>
      <c r="P102" s="48"/>
      <c r="Q102" s="48"/>
      <c r="R102" s="48"/>
    </row>
    <row r="103" s="4" customFormat="1" ht="26.1" customHeight="1" spans="1:18">
      <c r="A103" s="40">
        <v>98</v>
      </c>
      <c r="B103" s="41">
        <v>9082825</v>
      </c>
      <c r="C103" s="41" t="s">
        <v>115</v>
      </c>
      <c r="D103" s="41">
        <v>1</v>
      </c>
      <c r="E103" s="42">
        <v>240</v>
      </c>
      <c r="F103" s="42">
        <v>240</v>
      </c>
      <c r="G103" s="43">
        <v>0.3977</v>
      </c>
      <c r="H103" s="44">
        <f t="shared" si="6"/>
        <v>95.448</v>
      </c>
      <c r="I103" s="45">
        <v>0.1576</v>
      </c>
      <c r="J103" s="46">
        <f t="shared" si="7"/>
        <v>7.6055549490844</v>
      </c>
      <c r="K103" s="46">
        <f t="shared" si="8"/>
        <v>0.02004408</v>
      </c>
      <c r="L103" s="46">
        <f t="shared" si="9"/>
        <v>3.44541666167072</v>
      </c>
      <c r="M103" s="47">
        <f t="shared" si="10"/>
        <v>106.519015690755</v>
      </c>
      <c r="N103" s="46">
        <f t="shared" si="11"/>
        <v>0.443829232044813</v>
      </c>
      <c r="O103" s="48"/>
      <c r="P103" s="48"/>
      <c r="Q103" s="48"/>
      <c r="R103" s="48"/>
    </row>
    <row r="104" s="4" customFormat="1" ht="26.1" customHeight="1" spans="1:18">
      <c r="A104" s="40">
        <v>99</v>
      </c>
      <c r="B104" s="41">
        <v>8951110</v>
      </c>
      <c r="C104" s="41" t="s">
        <v>116</v>
      </c>
      <c r="D104" s="41">
        <v>3</v>
      </c>
      <c r="E104" s="42">
        <v>200</v>
      </c>
      <c r="F104" s="42">
        <v>600</v>
      </c>
      <c r="G104" s="43">
        <v>0.3184</v>
      </c>
      <c r="H104" s="44">
        <f t="shared" si="6"/>
        <v>191.04</v>
      </c>
      <c r="I104" s="45">
        <v>0.17994</v>
      </c>
      <c r="J104" s="46">
        <f t="shared" si="7"/>
        <v>8.68365201483659</v>
      </c>
      <c r="K104" s="46">
        <f t="shared" si="8"/>
        <v>0.0401184</v>
      </c>
      <c r="L104" s="46">
        <f t="shared" si="9"/>
        <v>6.89603133691198</v>
      </c>
      <c r="M104" s="47">
        <f t="shared" si="10"/>
        <v>206.659801751749</v>
      </c>
      <c r="N104" s="46">
        <f t="shared" si="11"/>
        <v>0.344433002919581</v>
      </c>
      <c r="O104" s="48"/>
      <c r="P104" s="48"/>
      <c r="Q104" s="48"/>
      <c r="R104" s="48"/>
    </row>
    <row r="105" s="4" customFormat="1" ht="26.1" customHeight="1" spans="1:18">
      <c r="A105" s="40">
        <v>100</v>
      </c>
      <c r="B105" s="41">
        <v>8803489</v>
      </c>
      <c r="C105" s="41" t="s">
        <v>117</v>
      </c>
      <c r="D105" s="41">
        <v>2</v>
      </c>
      <c r="E105" s="42">
        <v>24</v>
      </c>
      <c r="F105" s="42">
        <v>48</v>
      </c>
      <c r="G105" s="43">
        <v>0.5331</v>
      </c>
      <c r="H105" s="44">
        <f t="shared" si="6"/>
        <v>25.5888</v>
      </c>
      <c r="I105" s="45">
        <v>0.04262</v>
      </c>
      <c r="J105" s="46">
        <f t="shared" si="7"/>
        <v>2.05678142087549</v>
      </c>
      <c r="K105" s="46">
        <f t="shared" si="8"/>
        <v>0.005373648</v>
      </c>
      <c r="L105" s="46">
        <f t="shared" si="9"/>
        <v>0.923687011484366</v>
      </c>
      <c r="M105" s="47">
        <f t="shared" si="10"/>
        <v>28.5746420803599</v>
      </c>
      <c r="N105" s="46">
        <f t="shared" si="11"/>
        <v>0.59530504334083</v>
      </c>
      <c r="O105" s="48"/>
      <c r="P105" s="48"/>
      <c r="Q105" s="48"/>
      <c r="R105" s="48"/>
    </row>
    <row r="106" s="4" customFormat="1" ht="26.1" customHeight="1" spans="1:18">
      <c r="A106" s="40">
        <v>101</v>
      </c>
      <c r="B106" s="41">
        <v>9047515</v>
      </c>
      <c r="C106" s="41" t="s">
        <v>118</v>
      </c>
      <c r="D106" s="41">
        <v>3</v>
      </c>
      <c r="E106" s="42">
        <v>12</v>
      </c>
      <c r="F106" s="42">
        <v>36</v>
      </c>
      <c r="G106" s="43">
        <v>0.5187</v>
      </c>
      <c r="H106" s="44">
        <f t="shared" si="6"/>
        <v>18.6732</v>
      </c>
      <c r="I106" s="45">
        <v>0.06</v>
      </c>
      <c r="J106" s="46">
        <f t="shared" si="7"/>
        <v>2.89551584356005</v>
      </c>
      <c r="K106" s="46">
        <f t="shared" si="8"/>
        <v>0.003921372</v>
      </c>
      <c r="L106" s="46">
        <f t="shared" si="9"/>
        <v>0.674052409759342</v>
      </c>
      <c r="M106" s="47">
        <f t="shared" si="10"/>
        <v>22.2466896253194</v>
      </c>
      <c r="N106" s="46">
        <f t="shared" si="11"/>
        <v>0.617963600703316</v>
      </c>
      <c r="O106" s="48"/>
      <c r="P106" s="48"/>
      <c r="Q106" s="48"/>
      <c r="R106" s="48"/>
    </row>
    <row r="107" s="4" customFormat="1" ht="26.1" customHeight="1" spans="1:18">
      <c r="A107" s="40">
        <v>102</v>
      </c>
      <c r="B107" s="41">
        <v>9047520</v>
      </c>
      <c r="C107" s="41" t="s">
        <v>119</v>
      </c>
      <c r="D107" s="41">
        <v>3</v>
      </c>
      <c r="E107" s="42">
        <v>48</v>
      </c>
      <c r="F107" s="42">
        <v>144</v>
      </c>
      <c r="G107" s="43">
        <v>0.2594</v>
      </c>
      <c r="H107" s="44">
        <f t="shared" si="6"/>
        <v>37.3536</v>
      </c>
      <c r="I107" s="45">
        <v>0.15669</v>
      </c>
      <c r="J107" s="46">
        <f t="shared" si="7"/>
        <v>7.56163962545707</v>
      </c>
      <c r="K107" s="46">
        <f t="shared" si="8"/>
        <v>0.007844256</v>
      </c>
      <c r="L107" s="46">
        <f t="shared" si="9"/>
        <v>1.34836472019721</v>
      </c>
      <c r="M107" s="47">
        <f t="shared" si="10"/>
        <v>46.2714486016543</v>
      </c>
      <c r="N107" s="46">
        <f t="shared" si="11"/>
        <v>0.321329504178155</v>
      </c>
      <c r="O107" s="48"/>
      <c r="P107" s="48"/>
      <c r="Q107" s="48"/>
      <c r="R107" s="48"/>
    </row>
    <row r="108" s="4" customFormat="1" ht="26.1" customHeight="1" spans="1:18">
      <c r="A108" s="40">
        <v>103</v>
      </c>
      <c r="B108" s="41">
        <v>8955024</v>
      </c>
      <c r="C108" s="41" t="s">
        <v>120</v>
      </c>
      <c r="D108" s="41">
        <v>2</v>
      </c>
      <c r="E108" s="42">
        <v>720</v>
      </c>
      <c r="F108" s="42">
        <v>1440</v>
      </c>
      <c r="G108" s="43">
        <v>0.2133</v>
      </c>
      <c r="H108" s="44">
        <f t="shared" si="6"/>
        <v>307.152</v>
      </c>
      <c r="I108" s="45">
        <v>0.3712</v>
      </c>
      <c r="J108" s="46">
        <f t="shared" si="7"/>
        <v>17.9135913521582</v>
      </c>
      <c r="K108" s="46">
        <f t="shared" si="8"/>
        <v>0.06450192</v>
      </c>
      <c r="L108" s="46">
        <f t="shared" si="9"/>
        <v>11.0873629459547</v>
      </c>
      <c r="M108" s="47">
        <f t="shared" si="10"/>
        <v>336.217456218113</v>
      </c>
      <c r="N108" s="46">
        <f t="shared" si="11"/>
        <v>0.233484344595912</v>
      </c>
      <c r="O108" s="48"/>
      <c r="P108" s="48"/>
      <c r="Q108" s="48"/>
      <c r="R108" s="48"/>
    </row>
    <row r="109" s="4" customFormat="1" ht="26.1" customHeight="1" spans="1:18">
      <c r="A109" s="40">
        <v>104</v>
      </c>
      <c r="B109" s="41">
        <v>8955025</v>
      </c>
      <c r="C109" s="41" t="s">
        <v>121</v>
      </c>
      <c r="D109" s="41">
        <v>2</v>
      </c>
      <c r="E109" s="42">
        <v>720</v>
      </c>
      <c r="F109" s="42">
        <v>1440</v>
      </c>
      <c r="G109" s="43">
        <v>0.2133</v>
      </c>
      <c r="H109" s="44">
        <f t="shared" si="6"/>
        <v>307.152</v>
      </c>
      <c r="I109" s="45">
        <v>0.3712</v>
      </c>
      <c r="J109" s="46">
        <f t="shared" si="7"/>
        <v>17.9135913521582</v>
      </c>
      <c r="K109" s="46">
        <f t="shared" si="8"/>
        <v>0.06450192</v>
      </c>
      <c r="L109" s="46">
        <f t="shared" si="9"/>
        <v>11.0873629459547</v>
      </c>
      <c r="M109" s="47">
        <f t="shared" si="10"/>
        <v>336.217456218113</v>
      </c>
      <c r="N109" s="46">
        <f t="shared" si="11"/>
        <v>0.233484344595912</v>
      </c>
      <c r="O109" s="48"/>
      <c r="P109" s="48"/>
      <c r="Q109" s="48"/>
      <c r="R109" s="48"/>
    </row>
    <row r="110" s="4" customFormat="1" ht="26.1" customHeight="1" spans="1:18">
      <c r="A110" s="40">
        <v>105</v>
      </c>
      <c r="B110" s="41">
        <v>9088071</v>
      </c>
      <c r="C110" s="41" t="s">
        <v>122</v>
      </c>
      <c r="D110" s="41">
        <v>2</v>
      </c>
      <c r="E110" s="42">
        <v>360</v>
      </c>
      <c r="F110" s="42">
        <v>720</v>
      </c>
      <c r="G110" s="43">
        <v>0.317</v>
      </c>
      <c r="H110" s="44">
        <f t="shared" si="6"/>
        <v>228.24</v>
      </c>
      <c r="I110" s="45">
        <v>0.299</v>
      </c>
      <c r="J110" s="46">
        <f t="shared" si="7"/>
        <v>14.4293206204076</v>
      </c>
      <c r="K110" s="46">
        <f t="shared" si="8"/>
        <v>0.0479304</v>
      </c>
      <c r="L110" s="46">
        <f t="shared" si="9"/>
        <v>8.23885150930062</v>
      </c>
      <c r="M110" s="47">
        <f t="shared" si="10"/>
        <v>250.956102529708</v>
      </c>
      <c r="N110" s="46">
        <f t="shared" si="11"/>
        <v>0.348550142402373</v>
      </c>
      <c r="O110" s="48"/>
      <c r="P110" s="48"/>
      <c r="Q110" s="48"/>
      <c r="R110" s="48"/>
    </row>
    <row r="111" s="4" customFormat="1" ht="26.1" customHeight="1" spans="1:18">
      <c r="A111" s="40">
        <v>106</v>
      </c>
      <c r="B111" s="41">
        <v>8803435</v>
      </c>
      <c r="C111" s="41" t="s">
        <v>123</v>
      </c>
      <c r="D111" s="41">
        <v>2</v>
      </c>
      <c r="E111" s="42">
        <v>24</v>
      </c>
      <c r="F111" s="42">
        <v>48</v>
      </c>
      <c r="G111" s="43">
        <v>2.5937</v>
      </c>
      <c r="H111" s="44">
        <f t="shared" si="6"/>
        <v>124.4976</v>
      </c>
      <c r="I111" s="45">
        <v>0.109228</v>
      </c>
      <c r="J111" s="46">
        <f t="shared" si="7"/>
        <v>5.27119007600629</v>
      </c>
      <c r="K111" s="46">
        <f t="shared" si="8"/>
        <v>0.026144496</v>
      </c>
      <c r="L111" s="46">
        <f t="shared" si="9"/>
        <v>4.49402926596698</v>
      </c>
      <c r="M111" s="47">
        <f t="shared" si="10"/>
        <v>134.288963837973</v>
      </c>
      <c r="N111" s="46">
        <f t="shared" si="11"/>
        <v>2.79768674662444</v>
      </c>
      <c r="O111" s="48"/>
      <c r="P111" s="48"/>
      <c r="Q111" s="48"/>
      <c r="R111" s="48"/>
    </row>
    <row r="112" s="4" customFormat="1" ht="26.1" customHeight="1" spans="1:18">
      <c r="A112" s="40">
        <v>107</v>
      </c>
      <c r="B112" s="41">
        <v>8803436</v>
      </c>
      <c r="C112" s="41" t="s">
        <v>124</v>
      </c>
      <c r="D112" s="41">
        <v>2</v>
      </c>
      <c r="E112" s="42">
        <v>15</v>
      </c>
      <c r="F112" s="42">
        <v>30</v>
      </c>
      <c r="G112" s="43">
        <v>2.8818</v>
      </c>
      <c r="H112" s="44">
        <f t="shared" si="6"/>
        <v>86.454</v>
      </c>
      <c r="I112" s="45">
        <v>0.0917</v>
      </c>
      <c r="J112" s="46">
        <f t="shared" si="7"/>
        <v>4.42531338090761</v>
      </c>
      <c r="K112" s="46">
        <f t="shared" si="8"/>
        <v>0.01815534</v>
      </c>
      <c r="L112" s="46">
        <f t="shared" si="9"/>
        <v>3.12075739741095</v>
      </c>
      <c r="M112" s="47">
        <f t="shared" si="10"/>
        <v>94.0182261183186</v>
      </c>
      <c r="N112" s="46">
        <f t="shared" si="11"/>
        <v>3.13394087061062</v>
      </c>
      <c r="O112" s="48"/>
      <c r="P112" s="48"/>
      <c r="Q112" s="48"/>
      <c r="R112" s="48"/>
    </row>
    <row r="113" s="4" customFormat="1" ht="26.1" customHeight="1" spans="1:18">
      <c r="A113" s="40">
        <v>108</v>
      </c>
      <c r="B113" s="41">
        <v>8950656</v>
      </c>
      <c r="C113" s="41" t="s">
        <v>125</v>
      </c>
      <c r="D113" s="41">
        <v>6</v>
      </c>
      <c r="E113" s="42">
        <v>12</v>
      </c>
      <c r="F113" s="42">
        <v>72</v>
      </c>
      <c r="G113" s="43">
        <v>2.7089</v>
      </c>
      <c r="H113" s="44">
        <f t="shared" si="6"/>
        <v>195.0408</v>
      </c>
      <c r="I113" s="45">
        <v>0.42636</v>
      </c>
      <c r="J113" s="46">
        <f t="shared" si="7"/>
        <v>20.5755355843377</v>
      </c>
      <c r="K113" s="46">
        <f t="shared" si="8"/>
        <v>0.040958568</v>
      </c>
      <c r="L113" s="46">
        <f t="shared" si="9"/>
        <v>7.04044948061339</v>
      </c>
      <c r="M113" s="47">
        <f t="shared" si="10"/>
        <v>222.697743632951</v>
      </c>
      <c r="N113" s="46">
        <f t="shared" si="11"/>
        <v>3.09302421712432</v>
      </c>
      <c r="O113" s="48"/>
      <c r="P113" s="48"/>
      <c r="Q113" s="48"/>
      <c r="R113" s="48"/>
    </row>
    <row r="114" s="4" customFormat="1" ht="26.1" customHeight="1" spans="1:18">
      <c r="A114" s="40">
        <v>109</v>
      </c>
      <c r="B114" s="41">
        <v>8953175</v>
      </c>
      <c r="C114" s="41" t="s">
        <v>126</v>
      </c>
      <c r="D114" s="41">
        <v>7</v>
      </c>
      <c r="E114" s="42">
        <v>48</v>
      </c>
      <c r="F114" s="42">
        <v>336</v>
      </c>
      <c r="G114" s="43">
        <v>0.6628</v>
      </c>
      <c r="H114" s="44">
        <f t="shared" si="6"/>
        <v>222.7008</v>
      </c>
      <c r="I114" s="45">
        <v>0.45472</v>
      </c>
      <c r="J114" s="46">
        <f t="shared" si="7"/>
        <v>21.9441494063938</v>
      </c>
      <c r="K114" s="46">
        <f t="shared" si="8"/>
        <v>0.046767168</v>
      </c>
      <c r="L114" s="46">
        <f t="shared" si="9"/>
        <v>8.03890125395397</v>
      </c>
      <c r="M114" s="47">
        <f t="shared" si="10"/>
        <v>252.730617828348</v>
      </c>
      <c r="N114" s="46">
        <f t="shared" si="11"/>
        <v>0.752174457822464</v>
      </c>
      <c r="O114" s="48"/>
      <c r="P114" s="48"/>
      <c r="Q114" s="48"/>
      <c r="R114" s="48"/>
    </row>
    <row r="115" s="4" customFormat="1" ht="26.1" customHeight="1" spans="1:18">
      <c r="A115" s="40">
        <v>110</v>
      </c>
      <c r="B115" s="41">
        <v>8953176</v>
      </c>
      <c r="C115" s="41" t="s">
        <v>127</v>
      </c>
      <c r="D115" s="41">
        <v>3</v>
      </c>
      <c r="E115" s="42">
        <v>48</v>
      </c>
      <c r="F115" s="42">
        <v>144</v>
      </c>
      <c r="G115" s="43">
        <v>0.7781</v>
      </c>
      <c r="H115" s="44">
        <f t="shared" si="6"/>
        <v>112.0464</v>
      </c>
      <c r="I115" s="45">
        <v>0.225</v>
      </c>
      <c r="J115" s="46">
        <f t="shared" si="7"/>
        <v>10.8581844133502</v>
      </c>
      <c r="K115" s="46">
        <f t="shared" si="8"/>
        <v>0.023529744</v>
      </c>
      <c r="L115" s="46">
        <f t="shared" si="9"/>
        <v>4.04457435923458</v>
      </c>
      <c r="M115" s="47">
        <f t="shared" si="10"/>
        <v>126.972688516585</v>
      </c>
      <c r="N115" s="46">
        <f t="shared" si="11"/>
        <v>0.881754781365172</v>
      </c>
      <c r="O115" s="48"/>
      <c r="P115" s="48"/>
      <c r="Q115" s="48"/>
      <c r="R115" s="48"/>
    </row>
    <row r="116" s="4" customFormat="1" ht="26.1" customHeight="1" spans="1:18">
      <c r="A116" s="40">
        <v>111</v>
      </c>
      <c r="B116" s="41">
        <v>9089405</v>
      </c>
      <c r="C116" s="41" t="s">
        <v>128</v>
      </c>
      <c r="D116" s="41">
        <v>7</v>
      </c>
      <c r="E116" s="42">
        <v>36</v>
      </c>
      <c r="F116" s="42">
        <v>252</v>
      </c>
      <c r="G116" s="43">
        <v>1.0519</v>
      </c>
      <c r="H116" s="44">
        <f t="shared" si="6"/>
        <v>265.0788</v>
      </c>
      <c r="I116" s="45">
        <v>0.63203</v>
      </c>
      <c r="J116" s="46">
        <f t="shared" si="7"/>
        <v>30.5008813100876</v>
      </c>
      <c r="K116" s="46">
        <f t="shared" si="8"/>
        <v>0.055666548</v>
      </c>
      <c r="L116" s="46">
        <f t="shared" si="9"/>
        <v>9.56863333098316</v>
      </c>
      <c r="M116" s="47">
        <f t="shared" si="10"/>
        <v>305.203981189071</v>
      </c>
      <c r="N116" s="46">
        <f t="shared" si="11"/>
        <v>1.21112690948044</v>
      </c>
      <c r="O116" s="48"/>
      <c r="P116" s="48"/>
      <c r="Q116" s="48"/>
      <c r="R116" s="48"/>
    </row>
    <row r="117" s="4" customFormat="1" ht="26.1" customHeight="1" spans="1:18">
      <c r="A117" s="40">
        <v>112</v>
      </c>
      <c r="B117" s="41">
        <v>8802234</v>
      </c>
      <c r="C117" s="41" t="s">
        <v>129</v>
      </c>
      <c r="D117" s="41">
        <v>3</v>
      </c>
      <c r="E117" s="42">
        <v>64</v>
      </c>
      <c r="F117" s="42">
        <v>192</v>
      </c>
      <c r="G117" s="43">
        <v>1.0519</v>
      </c>
      <c r="H117" s="44">
        <f t="shared" si="6"/>
        <v>201.9648</v>
      </c>
      <c r="I117" s="45">
        <v>0.1755</v>
      </c>
      <c r="J117" s="46">
        <f t="shared" si="7"/>
        <v>8.46938384241315</v>
      </c>
      <c r="K117" s="46">
        <f t="shared" si="8"/>
        <v>0.042412608</v>
      </c>
      <c r="L117" s="46">
        <f t="shared" si="9"/>
        <v>7.29038729979669</v>
      </c>
      <c r="M117" s="47">
        <f t="shared" si="10"/>
        <v>217.76698375021</v>
      </c>
      <c r="N117" s="46">
        <f t="shared" si="11"/>
        <v>1.13420304036568</v>
      </c>
      <c r="O117" s="48"/>
      <c r="P117" s="48"/>
      <c r="Q117" s="48"/>
      <c r="R117" s="48"/>
    </row>
    <row r="118" s="4" customFormat="1" ht="26.1" customHeight="1" spans="1:18">
      <c r="A118" s="40">
        <v>113</v>
      </c>
      <c r="B118" s="41">
        <v>8802235</v>
      </c>
      <c r="C118" s="41" t="s">
        <v>130</v>
      </c>
      <c r="D118" s="41">
        <v>1</v>
      </c>
      <c r="E118" s="42">
        <v>60</v>
      </c>
      <c r="F118" s="42">
        <v>60</v>
      </c>
      <c r="G118" s="43">
        <v>1.0951</v>
      </c>
      <c r="H118" s="44">
        <f t="shared" si="6"/>
        <v>65.706</v>
      </c>
      <c r="I118" s="45">
        <v>0.1165</v>
      </c>
      <c r="J118" s="46">
        <f t="shared" si="7"/>
        <v>5.62212659624577</v>
      </c>
      <c r="K118" s="46">
        <f t="shared" si="8"/>
        <v>0.01379826</v>
      </c>
      <c r="L118" s="46">
        <f t="shared" si="9"/>
        <v>2.37181027545613</v>
      </c>
      <c r="M118" s="47">
        <f t="shared" si="10"/>
        <v>73.7137351317019</v>
      </c>
      <c r="N118" s="46">
        <f t="shared" si="11"/>
        <v>1.22856225219503</v>
      </c>
      <c r="O118" s="48"/>
      <c r="P118" s="48"/>
      <c r="Q118" s="48"/>
      <c r="R118" s="48"/>
    </row>
    <row r="119" s="4" customFormat="1" ht="26.1" customHeight="1" spans="1:18">
      <c r="A119" s="40">
        <v>114</v>
      </c>
      <c r="B119" s="41">
        <v>8973072</v>
      </c>
      <c r="C119" s="41" t="s">
        <v>131</v>
      </c>
      <c r="D119" s="41">
        <v>4</v>
      </c>
      <c r="E119" s="42">
        <v>120</v>
      </c>
      <c r="F119" s="42">
        <v>480</v>
      </c>
      <c r="G119" s="43">
        <v>0.4899</v>
      </c>
      <c r="H119" s="44">
        <f t="shared" si="6"/>
        <v>235.152</v>
      </c>
      <c r="I119" s="45">
        <v>0.4392</v>
      </c>
      <c r="J119" s="46">
        <f t="shared" si="7"/>
        <v>21.1951759748596</v>
      </c>
      <c r="K119" s="46">
        <f t="shared" si="8"/>
        <v>0.04938192</v>
      </c>
      <c r="L119" s="46">
        <f t="shared" si="9"/>
        <v>8.48835616068638</v>
      </c>
      <c r="M119" s="47">
        <f t="shared" si="10"/>
        <v>264.884914055546</v>
      </c>
      <c r="N119" s="46">
        <f t="shared" si="11"/>
        <v>0.551843570949054</v>
      </c>
      <c r="O119" s="48"/>
      <c r="P119" s="48"/>
      <c r="Q119" s="48"/>
      <c r="R119" s="48"/>
    </row>
    <row r="120" s="4" customFormat="1" ht="26.1" customHeight="1" spans="1:18">
      <c r="A120" s="40">
        <v>115</v>
      </c>
      <c r="B120" s="41">
        <v>8973091</v>
      </c>
      <c r="C120" s="41" t="s">
        <v>132</v>
      </c>
      <c r="D120" s="41">
        <v>1</v>
      </c>
      <c r="E120" s="42">
        <v>40</v>
      </c>
      <c r="F120" s="42">
        <v>40</v>
      </c>
      <c r="G120" s="43">
        <v>1.2536</v>
      </c>
      <c r="H120" s="44">
        <f t="shared" si="6"/>
        <v>50.144</v>
      </c>
      <c r="I120" s="45">
        <v>0.167</v>
      </c>
      <c r="J120" s="46">
        <f t="shared" si="7"/>
        <v>8.05918576457547</v>
      </c>
      <c r="K120" s="46">
        <f t="shared" si="8"/>
        <v>0.01053024</v>
      </c>
      <c r="L120" s="46">
        <f t="shared" si="9"/>
        <v>1.81006383667355</v>
      </c>
      <c r="M120" s="47">
        <f t="shared" si="10"/>
        <v>60.023779841249</v>
      </c>
      <c r="N120" s="46">
        <f t="shared" si="11"/>
        <v>1.50059449603123</v>
      </c>
      <c r="O120" s="48"/>
      <c r="P120" s="48"/>
      <c r="Q120" s="48"/>
      <c r="R120" s="48"/>
    </row>
    <row r="121" s="4" customFormat="1" ht="26.1" customHeight="1" spans="1:18">
      <c r="A121" s="40">
        <v>116</v>
      </c>
      <c r="B121" s="41">
        <v>8973115</v>
      </c>
      <c r="C121" s="41" t="s">
        <v>133</v>
      </c>
      <c r="D121" s="41">
        <v>6</v>
      </c>
      <c r="E121" s="42">
        <v>12</v>
      </c>
      <c r="F121" s="42">
        <v>72</v>
      </c>
      <c r="G121" s="43">
        <v>3.3141</v>
      </c>
      <c r="H121" s="44">
        <f t="shared" si="6"/>
        <v>238.6152</v>
      </c>
      <c r="I121" s="45">
        <v>0.834</v>
      </c>
      <c r="J121" s="46">
        <f t="shared" si="7"/>
        <v>40.2476702254847</v>
      </c>
      <c r="K121" s="46">
        <f t="shared" si="8"/>
        <v>0.050109192</v>
      </c>
      <c r="L121" s="46">
        <f t="shared" si="9"/>
        <v>8.61336838705778</v>
      </c>
      <c r="M121" s="47">
        <f t="shared" si="10"/>
        <v>287.526347804542</v>
      </c>
      <c r="N121" s="46">
        <f t="shared" si="11"/>
        <v>3.99342149728531</v>
      </c>
      <c r="O121" s="48"/>
      <c r="P121" s="48"/>
      <c r="Q121" s="48"/>
      <c r="R121" s="48"/>
    </row>
    <row r="122" s="4" customFormat="1" ht="26.1" customHeight="1" spans="1:18">
      <c r="A122" s="40">
        <v>117</v>
      </c>
      <c r="B122" s="41">
        <v>8974528</v>
      </c>
      <c r="C122" s="41" t="s">
        <v>134</v>
      </c>
      <c r="D122" s="41">
        <v>9</v>
      </c>
      <c r="E122" s="42">
        <v>60</v>
      </c>
      <c r="F122" s="42">
        <v>540</v>
      </c>
      <c r="G122" s="43">
        <v>0.4539</v>
      </c>
      <c r="H122" s="44">
        <f t="shared" si="6"/>
        <v>245.106</v>
      </c>
      <c r="I122" s="45">
        <v>0.531</v>
      </c>
      <c r="J122" s="46">
        <f t="shared" si="7"/>
        <v>25.6253152155065</v>
      </c>
      <c r="K122" s="46">
        <f t="shared" si="8"/>
        <v>0.05147226</v>
      </c>
      <c r="L122" s="46">
        <f t="shared" si="9"/>
        <v>8.84766884874972</v>
      </c>
      <c r="M122" s="47">
        <f t="shared" si="10"/>
        <v>279.630456324256</v>
      </c>
      <c r="N122" s="46">
        <f t="shared" si="11"/>
        <v>0.517834178378252</v>
      </c>
      <c r="O122" s="48"/>
      <c r="P122" s="48"/>
      <c r="Q122" s="48"/>
      <c r="R122" s="48"/>
    </row>
    <row r="123" s="4" customFormat="1" ht="26.1" customHeight="1" spans="1:18">
      <c r="A123" s="40">
        <v>118</v>
      </c>
      <c r="B123" s="41">
        <v>8974750</v>
      </c>
      <c r="C123" s="41" t="s">
        <v>135</v>
      </c>
      <c r="D123" s="41">
        <v>33</v>
      </c>
      <c r="E123" s="42">
        <v>48</v>
      </c>
      <c r="F123" s="42">
        <v>1584</v>
      </c>
      <c r="G123" s="43">
        <v>0.3429</v>
      </c>
      <c r="H123" s="44">
        <f t="shared" si="6"/>
        <v>543.1536</v>
      </c>
      <c r="I123" s="45">
        <v>2.93073</v>
      </c>
      <c r="J123" s="46">
        <f t="shared" si="7"/>
        <v>141.432919136612</v>
      </c>
      <c r="K123" s="46">
        <f t="shared" si="8"/>
        <v>0.114062256</v>
      </c>
      <c r="L123" s="46">
        <f t="shared" si="9"/>
        <v>19.6063873867073</v>
      </c>
      <c r="M123" s="47">
        <f t="shared" si="10"/>
        <v>704.30696877932</v>
      </c>
      <c r="N123" s="46">
        <f t="shared" si="11"/>
        <v>0.444638237865732</v>
      </c>
      <c r="O123" s="48"/>
      <c r="P123" s="48"/>
      <c r="Q123" s="48"/>
      <c r="R123" s="48"/>
    </row>
    <row r="124" s="4" customFormat="1" ht="26.1" customHeight="1" spans="1:18">
      <c r="A124" s="40">
        <v>119</v>
      </c>
      <c r="B124" s="41">
        <v>8974755</v>
      </c>
      <c r="C124" s="41" t="s">
        <v>136</v>
      </c>
      <c r="D124" s="41">
        <v>6</v>
      </c>
      <c r="E124" s="42">
        <v>24</v>
      </c>
      <c r="F124" s="42">
        <v>144</v>
      </c>
      <c r="G124" s="43">
        <v>1.9452</v>
      </c>
      <c r="H124" s="44">
        <f t="shared" si="6"/>
        <v>280.1088</v>
      </c>
      <c r="I124" s="45">
        <v>0.5172</v>
      </c>
      <c r="J124" s="46">
        <f t="shared" si="7"/>
        <v>24.9593465714876</v>
      </c>
      <c r="K124" s="46">
        <f t="shared" si="8"/>
        <v>0.058822848</v>
      </c>
      <c r="L124" s="46">
        <f t="shared" si="9"/>
        <v>10.1111759974079</v>
      </c>
      <c r="M124" s="47">
        <f t="shared" si="10"/>
        <v>315.238145416896</v>
      </c>
      <c r="N124" s="46">
        <f t="shared" si="11"/>
        <v>2.18915378761733</v>
      </c>
      <c r="O124" s="48"/>
      <c r="P124" s="48"/>
      <c r="Q124" s="48"/>
      <c r="R124" s="48"/>
    </row>
    <row r="125" s="4" customFormat="1" ht="26.1" customHeight="1" spans="1:18">
      <c r="A125" s="40">
        <v>120</v>
      </c>
      <c r="B125" s="41">
        <v>8975340</v>
      </c>
      <c r="C125" s="41" t="s">
        <v>137</v>
      </c>
      <c r="D125" s="41">
        <v>1</v>
      </c>
      <c r="E125" s="42">
        <v>120</v>
      </c>
      <c r="F125" s="42">
        <v>120</v>
      </c>
      <c r="G125" s="43">
        <v>0.4035</v>
      </c>
      <c r="H125" s="44">
        <f t="shared" si="6"/>
        <v>48.42</v>
      </c>
      <c r="I125" s="45">
        <v>0.053</v>
      </c>
      <c r="J125" s="46">
        <f t="shared" si="7"/>
        <v>2.55770566181138</v>
      </c>
      <c r="K125" s="46">
        <f t="shared" si="8"/>
        <v>0.0101682</v>
      </c>
      <c r="L125" s="46">
        <f t="shared" si="9"/>
        <v>1.74783206309295</v>
      </c>
      <c r="M125" s="47">
        <f t="shared" si="10"/>
        <v>52.7357059249043</v>
      </c>
      <c r="N125" s="46">
        <f t="shared" si="11"/>
        <v>0.439464216040869</v>
      </c>
      <c r="O125" s="48"/>
      <c r="P125" s="48"/>
      <c r="Q125" s="48"/>
      <c r="R125" s="48"/>
    </row>
    <row r="126" s="4" customFormat="1" ht="26.1" customHeight="1" spans="1:18">
      <c r="A126" s="40">
        <v>121</v>
      </c>
      <c r="B126" s="41">
        <v>8976236</v>
      </c>
      <c r="C126" s="41" t="s">
        <v>138</v>
      </c>
      <c r="D126" s="41">
        <v>2</v>
      </c>
      <c r="E126" s="42">
        <v>80</v>
      </c>
      <c r="F126" s="42">
        <v>160</v>
      </c>
      <c r="G126" s="43">
        <v>0.3343</v>
      </c>
      <c r="H126" s="44">
        <f t="shared" si="6"/>
        <v>53.488</v>
      </c>
      <c r="I126" s="45">
        <v>0.1494</v>
      </c>
      <c r="J126" s="46">
        <f t="shared" si="7"/>
        <v>7.20983445046453</v>
      </c>
      <c r="K126" s="46">
        <f t="shared" si="8"/>
        <v>0.01123248</v>
      </c>
      <c r="L126" s="46">
        <f t="shared" si="9"/>
        <v>1.93077326292268</v>
      </c>
      <c r="M126" s="47">
        <f t="shared" si="10"/>
        <v>62.6398401933872</v>
      </c>
      <c r="N126" s="46">
        <f t="shared" si="11"/>
        <v>0.39149900120867</v>
      </c>
      <c r="O126" s="48"/>
      <c r="P126" s="48"/>
      <c r="Q126" s="48"/>
      <c r="R126" s="48"/>
    </row>
    <row r="127" s="4" customFormat="1" ht="26.1" customHeight="1" spans="1:18">
      <c r="A127" s="40">
        <v>122</v>
      </c>
      <c r="B127" s="41">
        <v>8976237</v>
      </c>
      <c r="C127" s="41" t="s">
        <v>139</v>
      </c>
      <c r="D127" s="41">
        <v>4</v>
      </c>
      <c r="E127" s="42">
        <v>80</v>
      </c>
      <c r="F127" s="42">
        <v>320</v>
      </c>
      <c r="G127" s="43">
        <v>0.5187</v>
      </c>
      <c r="H127" s="44">
        <f t="shared" si="6"/>
        <v>165.984</v>
      </c>
      <c r="I127" s="45">
        <v>0.2988</v>
      </c>
      <c r="J127" s="46">
        <f t="shared" si="7"/>
        <v>14.4196689009291</v>
      </c>
      <c r="K127" s="46">
        <f t="shared" si="8"/>
        <v>0.03485664</v>
      </c>
      <c r="L127" s="46">
        <f t="shared" si="9"/>
        <v>5.9915769756386</v>
      </c>
      <c r="M127" s="47">
        <f t="shared" si="10"/>
        <v>186.430102516568</v>
      </c>
      <c r="N127" s="46">
        <f t="shared" si="11"/>
        <v>0.582594070364274</v>
      </c>
      <c r="O127" s="48"/>
      <c r="P127" s="48"/>
      <c r="Q127" s="48"/>
      <c r="R127" s="48"/>
    </row>
    <row r="128" s="4" customFormat="1" ht="26.1" customHeight="1" spans="1:18">
      <c r="A128" s="40">
        <v>123</v>
      </c>
      <c r="B128" s="41">
        <v>8976609</v>
      </c>
      <c r="C128" s="41" t="s">
        <v>140</v>
      </c>
      <c r="D128" s="41">
        <v>1</v>
      </c>
      <c r="E128" s="42">
        <v>200</v>
      </c>
      <c r="F128" s="42">
        <v>200</v>
      </c>
      <c r="G128" s="43">
        <v>0.3026</v>
      </c>
      <c r="H128" s="44">
        <f t="shared" si="6"/>
        <v>60.52</v>
      </c>
      <c r="I128" s="45">
        <v>0.1404</v>
      </c>
      <c r="J128" s="46">
        <f t="shared" si="7"/>
        <v>6.77550707393052</v>
      </c>
      <c r="K128" s="46">
        <f t="shared" si="8"/>
        <v>0.0127092</v>
      </c>
      <c r="L128" s="46">
        <f t="shared" si="9"/>
        <v>2.18460959228388</v>
      </c>
      <c r="M128" s="47">
        <f t="shared" si="10"/>
        <v>69.4928258662144</v>
      </c>
      <c r="N128" s="46">
        <f t="shared" si="11"/>
        <v>0.347464129331072</v>
      </c>
      <c r="O128" s="48"/>
      <c r="P128" s="48"/>
      <c r="Q128" s="48"/>
      <c r="R128" s="48"/>
    </row>
    <row r="129" s="4" customFormat="1" ht="26.1" customHeight="1" spans="1:18">
      <c r="A129" s="40">
        <v>124</v>
      </c>
      <c r="B129" s="41">
        <v>8976936</v>
      </c>
      <c r="C129" s="41" t="s">
        <v>141</v>
      </c>
      <c r="D129" s="41">
        <v>1</v>
      </c>
      <c r="E129" s="42">
        <v>72</v>
      </c>
      <c r="F129" s="42">
        <v>72</v>
      </c>
      <c r="G129" s="43">
        <v>0.4827</v>
      </c>
      <c r="H129" s="44">
        <f t="shared" si="6"/>
        <v>34.7544</v>
      </c>
      <c r="I129" s="45">
        <v>0.17875</v>
      </c>
      <c r="J129" s="46">
        <f t="shared" si="7"/>
        <v>8.62622428393932</v>
      </c>
      <c r="K129" s="46">
        <f t="shared" si="8"/>
        <v>0.007298424</v>
      </c>
      <c r="L129" s="46">
        <f t="shared" si="9"/>
        <v>1.25454057524902</v>
      </c>
      <c r="M129" s="47">
        <f t="shared" si="10"/>
        <v>44.6424632831883</v>
      </c>
      <c r="N129" s="46">
        <f t="shared" si="11"/>
        <v>0.620034212266505</v>
      </c>
      <c r="O129" s="48"/>
      <c r="P129" s="48"/>
      <c r="Q129" s="48"/>
      <c r="R129" s="48"/>
    </row>
    <row r="130" s="4" customFormat="1" ht="26.1" customHeight="1" spans="1:18">
      <c r="A130" s="40">
        <v>125</v>
      </c>
      <c r="B130" s="41">
        <v>8976941</v>
      </c>
      <c r="C130" s="41" t="s">
        <v>142</v>
      </c>
      <c r="D130" s="41">
        <v>2</v>
      </c>
      <c r="E130" s="42">
        <v>60</v>
      </c>
      <c r="F130" s="42">
        <v>120</v>
      </c>
      <c r="G130" s="43">
        <v>0.9798</v>
      </c>
      <c r="H130" s="44">
        <f t="shared" si="6"/>
        <v>117.576</v>
      </c>
      <c r="I130" s="45">
        <v>0.122</v>
      </c>
      <c r="J130" s="46">
        <f t="shared" si="7"/>
        <v>5.88754888190544</v>
      </c>
      <c r="K130" s="46">
        <f t="shared" si="8"/>
        <v>0.02469096</v>
      </c>
      <c r="L130" s="46">
        <f t="shared" si="9"/>
        <v>4.24417808034319</v>
      </c>
      <c r="M130" s="47">
        <f t="shared" si="10"/>
        <v>127.732417922249</v>
      </c>
      <c r="N130" s="46">
        <f t="shared" si="11"/>
        <v>1.06443681601874</v>
      </c>
      <c r="O130" s="48"/>
      <c r="P130" s="48"/>
      <c r="Q130" s="48"/>
      <c r="R130" s="48"/>
    </row>
    <row r="131" s="4" customFormat="1" ht="26.1" customHeight="1" spans="1:18">
      <c r="A131" s="40">
        <v>126</v>
      </c>
      <c r="B131" s="41">
        <v>8976942</v>
      </c>
      <c r="C131" s="41" t="s">
        <v>143</v>
      </c>
      <c r="D131" s="41">
        <v>4</v>
      </c>
      <c r="E131" s="42">
        <v>60</v>
      </c>
      <c r="F131" s="42">
        <v>240</v>
      </c>
      <c r="G131" s="43">
        <v>0.8934</v>
      </c>
      <c r="H131" s="44">
        <f t="shared" si="6"/>
        <v>214.416</v>
      </c>
      <c r="I131" s="45">
        <v>0.296</v>
      </c>
      <c r="J131" s="46">
        <f t="shared" si="7"/>
        <v>14.2845448282296</v>
      </c>
      <c r="K131" s="46">
        <f t="shared" si="8"/>
        <v>0.04502736</v>
      </c>
      <c r="L131" s="46">
        <f t="shared" si="9"/>
        <v>7.7398422065291</v>
      </c>
      <c r="M131" s="47">
        <f t="shared" si="10"/>
        <v>236.485414394759</v>
      </c>
      <c r="N131" s="46">
        <f t="shared" si="11"/>
        <v>0.985355893311494</v>
      </c>
      <c r="O131" s="48"/>
      <c r="P131" s="48"/>
      <c r="Q131" s="48"/>
      <c r="R131" s="48"/>
    </row>
    <row r="132" s="4" customFormat="1" ht="26.1" customHeight="1" spans="1:18">
      <c r="A132" s="40">
        <v>127</v>
      </c>
      <c r="B132" s="41">
        <v>8976943</v>
      </c>
      <c r="C132" s="41" t="s">
        <v>144</v>
      </c>
      <c r="D132" s="41">
        <v>1</v>
      </c>
      <c r="E132" s="42">
        <v>60</v>
      </c>
      <c r="F132" s="42">
        <v>60</v>
      </c>
      <c r="G132" s="43">
        <v>1.1239</v>
      </c>
      <c r="H132" s="44">
        <f t="shared" si="6"/>
        <v>67.434</v>
      </c>
      <c r="I132" s="45">
        <v>0.169</v>
      </c>
      <c r="J132" s="46">
        <f t="shared" si="7"/>
        <v>8.15570295936081</v>
      </c>
      <c r="K132" s="46">
        <f t="shared" si="8"/>
        <v>0.01416114</v>
      </c>
      <c r="L132" s="46">
        <f t="shared" si="9"/>
        <v>2.43418643830257</v>
      </c>
      <c r="M132" s="47">
        <f t="shared" si="10"/>
        <v>78.0380505376634</v>
      </c>
      <c r="N132" s="46">
        <f t="shared" si="11"/>
        <v>1.30063417562772</v>
      </c>
      <c r="O132" s="48"/>
      <c r="P132" s="48"/>
      <c r="Q132" s="48"/>
      <c r="R132" s="48"/>
    </row>
    <row r="133" s="4" customFormat="1" ht="26.1" customHeight="1" spans="1:18">
      <c r="A133" s="40">
        <v>128</v>
      </c>
      <c r="B133" s="41">
        <v>8976955</v>
      </c>
      <c r="C133" s="41" t="s">
        <v>145</v>
      </c>
      <c r="D133" s="41">
        <v>1</v>
      </c>
      <c r="E133" s="42">
        <v>20</v>
      </c>
      <c r="F133" s="42">
        <v>20</v>
      </c>
      <c r="G133" s="43">
        <v>2.1614</v>
      </c>
      <c r="H133" s="44">
        <f t="shared" si="6"/>
        <v>43.228</v>
      </c>
      <c r="I133" s="45">
        <v>0.1536</v>
      </c>
      <c r="J133" s="46">
        <f t="shared" si="7"/>
        <v>7.41252055951373</v>
      </c>
      <c r="K133" s="46">
        <f t="shared" si="8"/>
        <v>0.00907788</v>
      </c>
      <c r="L133" s="46">
        <f t="shared" si="9"/>
        <v>1.56041479602194</v>
      </c>
      <c r="M133" s="47">
        <f t="shared" si="10"/>
        <v>52.2100132355357</v>
      </c>
      <c r="N133" s="46">
        <f t="shared" si="11"/>
        <v>2.61050066177678</v>
      </c>
      <c r="O133" s="48"/>
      <c r="P133" s="48"/>
      <c r="Q133" s="48"/>
      <c r="R133" s="48"/>
    </row>
    <row r="134" s="4" customFormat="1" ht="26.1" customHeight="1" spans="1:18">
      <c r="A134" s="40">
        <v>129</v>
      </c>
      <c r="B134" s="41">
        <v>8977007</v>
      </c>
      <c r="C134" s="41" t="s">
        <v>146</v>
      </c>
      <c r="D134" s="41">
        <v>11</v>
      </c>
      <c r="E134" s="42">
        <v>6</v>
      </c>
      <c r="F134" s="42">
        <v>66</v>
      </c>
      <c r="G134" s="43">
        <v>1.8732</v>
      </c>
      <c r="H134" s="44">
        <f t="shared" si="6"/>
        <v>123.6312</v>
      </c>
      <c r="I134" s="45">
        <v>0.55</v>
      </c>
      <c r="J134" s="46">
        <f t="shared" si="7"/>
        <v>26.5422285659671</v>
      </c>
      <c r="K134" s="46">
        <f t="shared" si="8"/>
        <v>0.025962552</v>
      </c>
      <c r="L134" s="46">
        <f t="shared" si="9"/>
        <v>4.46275455098426</v>
      </c>
      <c r="M134" s="47">
        <f t="shared" si="10"/>
        <v>154.662145668951</v>
      </c>
      <c r="N134" s="46">
        <f t="shared" si="11"/>
        <v>2.34336584346896</v>
      </c>
      <c r="O134" s="48"/>
      <c r="P134" s="48"/>
      <c r="Q134" s="48"/>
      <c r="R134" s="48"/>
    </row>
    <row r="135" s="4" customFormat="1" ht="26.1" customHeight="1" spans="1:18">
      <c r="A135" s="40">
        <v>130</v>
      </c>
      <c r="B135" s="41">
        <v>8977954</v>
      </c>
      <c r="C135" s="41" t="s">
        <v>147</v>
      </c>
      <c r="D135" s="41">
        <v>1</v>
      </c>
      <c r="E135" s="42">
        <v>24</v>
      </c>
      <c r="F135" s="42">
        <v>24</v>
      </c>
      <c r="G135" s="43">
        <v>1.585</v>
      </c>
      <c r="H135" s="44">
        <f t="shared" ref="H135:H198" si="12">G135*F135</f>
        <v>38.04</v>
      </c>
      <c r="I135" s="45">
        <v>0.10762</v>
      </c>
      <c r="J135" s="46">
        <f t="shared" ref="J135:J198" si="13">I135/$I$5*$J$5</f>
        <v>5.19359025139888</v>
      </c>
      <c r="K135" s="46">
        <f t="shared" ref="K135:K198" si="14">H135/$H$5*$K$5</f>
        <v>0.0079884</v>
      </c>
      <c r="L135" s="46">
        <f t="shared" ref="L135:L198" si="15">H135/$H$5*$L$5</f>
        <v>1.37314191821677</v>
      </c>
      <c r="M135" s="47">
        <f t="shared" ref="M135:M198" si="16">N135*F135</f>
        <v>44.6147205696156</v>
      </c>
      <c r="N135" s="46">
        <f t="shared" ref="N135:N198" si="17">SUM(H135+J135+K135+L135)/F135</f>
        <v>1.85894669040065</v>
      </c>
      <c r="O135" s="48"/>
      <c r="P135" s="48"/>
      <c r="Q135" s="48"/>
      <c r="R135" s="48"/>
    </row>
    <row r="136" s="4" customFormat="1" ht="26.1" customHeight="1" spans="1:18">
      <c r="A136" s="40">
        <v>131</v>
      </c>
      <c r="B136" s="41">
        <v>8977956</v>
      </c>
      <c r="C136" s="41" t="s">
        <v>148</v>
      </c>
      <c r="D136" s="41">
        <v>2</v>
      </c>
      <c r="E136" s="42">
        <v>60</v>
      </c>
      <c r="F136" s="42">
        <v>120</v>
      </c>
      <c r="G136" s="43">
        <v>1.7291</v>
      </c>
      <c r="H136" s="44">
        <f t="shared" si="12"/>
        <v>207.492</v>
      </c>
      <c r="I136" s="45">
        <v>0.38738</v>
      </c>
      <c r="J136" s="46">
        <f t="shared" si="13"/>
        <v>18.6944154579715</v>
      </c>
      <c r="K136" s="46">
        <f t="shared" si="14"/>
        <v>0.04357332</v>
      </c>
      <c r="L136" s="46">
        <f t="shared" si="15"/>
        <v>7.48990438734579</v>
      </c>
      <c r="M136" s="47">
        <f t="shared" si="16"/>
        <v>233.719893165317</v>
      </c>
      <c r="N136" s="46">
        <f t="shared" si="17"/>
        <v>1.94766577637764</v>
      </c>
      <c r="O136" s="48"/>
      <c r="P136" s="48"/>
      <c r="Q136" s="48"/>
      <c r="R136" s="48"/>
    </row>
    <row r="137" s="4" customFormat="1" ht="26.1" customHeight="1" spans="1:18">
      <c r="A137" s="40">
        <v>132</v>
      </c>
      <c r="B137" s="41">
        <v>8978262</v>
      </c>
      <c r="C137" s="41" t="s">
        <v>149</v>
      </c>
      <c r="D137" s="41">
        <v>1</v>
      </c>
      <c r="E137" s="42">
        <v>300</v>
      </c>
      <c r="F137" s="42">
        <v>300</v>
      </c>
      <c r="G137" s="43">
        <v>0.2233</v>
      </c>
      <c r="H137" s="44">
        <f t="shared" si="12"/>
        <v>66.99</v>
      </c>
      <c r="I137" s="45">
        <v>0.073</v>
      </c>
      <c r="J137" s="46">
        <f t="shared" si="13"/>
        <v>3.52287760966473</v>
      </c>
      <c r="K137" s="46">
        <f t="shared" si="14"/>
        <v>0.0140679</v>
      </c>
      <c r="L137" s="46">
        <f t="shared" si="15"/>
        <v>2.41815922979341</v>
      </c>
      <c r="M137" s="47">
        <f t="shared" si="16"/>
        <v>72.9451047394581</v>
      </c>
      <c r="N137" s="46">
        <f t="shared" si="17"/>
        <v>0.243150349131527</v>
      </c>
      <c r="O137" s="48"/>
      <c r="P137" s="48"/>
      <c r="Q137" s="48"/>
      <c r="R137" s="48"/>
    </row>
    <row r="138" s="4" customFormat="1" ht="26.1" customHeight="1" spans="1:18">
      <c r="A138" s="40">
        <v>133</v>
      </c>
      <c r="B138" s="41">
        <v>8978269</v>
      </c>
      <c r="C138" s="41" t="s">
        <v>150</v>
      </c>
      <c r="D138" s="41">
        <v>1</v>
      </c>
      <c r="E138" s="42">
        <v>150</v>
      </c>
      <c r="F138" s="42">
        <v>150</v>
      </c>
      <c r="G138" s="43">
        <v>0.5216</v>
      </c>
      <c r="H138" s="44">
        <f t="shared" si="12"/>
        <v>78.24</v>
      </c>
      <c r="I138" s="45">
        <v>0.056</v>
      </c>
      <c r="J138" s="46">
        <f t="shared" si="13"/>
        <v>2.70248145398938</v>
      </c>
      <c r="K138" s="46">
        <f t="shared" si="14"/>
        <v>0.0164304</v>
      </c>
      <c r="L138" s="46">
        <f t="shared" si="15"/>
        <v>2.82425403999159</v>
      </c>
      <c r="M138" s="47">
        <f t="shared" si="16"/>
        <v>83.783165893981</v>
      </c>
      <c r="N138" s="46">
        <f t="shared" si="17"/>
        <v>0.558554439293206</v>
      </c>
      <c r="O138" s="48"/>
      <c r="P138" s="48"/>
      <c r="Q138" s="48"/>
      <c r="R138" s="48"/>
    </row>
    <row r="139" s="4" customFormat="1" ht="26.1" customHeight="1" spans="1:18">
      <c r="A139" s="40">
        <v>134</v>
      </c>
      <c r="B139" s="41">
        <v>8978272</v>
      </c>
      <c r="C139" s="41" t="s">
        <v>151</v>
      </c>
      <c r="D139" s="41">
        <v>1</v>
      </c>
      <c r="E139" s="42">
        <v>48</v>
      </c>
      <c r="F139" s="42">
        <v>48</v>
      </c>
      <c r="G139" s="43">
        <v>1.3689</v>
      </c>
      <c r="H139" s="44">
        <f t="shared" si="12"/>
        <v>65.7072</v>
      </c>
      <c r="I139" s="45">
        <v>0.102</v>
      </c>
      <c r="J139" s="46">
        <f t="shared" si="13"/>
        <v>4.92237693405209</v>
      </c>
      <c r="K139" s="46">
        <f t="shared" si="14"/>
        <v>0.013798512</v>
      </c>
      <c r="L139" s="46">
        <f t="shared" si="15"/>
        <v>2.37185359223588</v>
      </c>
      <c r="M139" s="47">
        <f t="shared" si="16"/>
        <v>73.015229038288</v>
      </c>
      <c r="N139" s="46">
        <f t="shared" si="17"/>
        <v>1.52115060496433</v>
      </c>
      <c r="O139" s="48"/>
      <c r="P139" s="48"/>
      <c r="Q139" s="48"/>
      <c r="R139" s="48"/>
    </row>
    <row r="140" s="4" customFormat="1" ht="26.1" customHeight="1" spans="1:18">
      <c r="A140" s="40">
        <v>135</v>
      </c>
      <c r="B140" s="41">
        <v>9066510</v>
      </c>
      <c r="C140" s="41" t="s">
        <v>152</v>
      </c>
      <c r="D140" s="41">
        <v>10</v>
      </c>
      <c r="E140" s="42">
        <v>12</v>
      </c>
      <c r="F140" s="42">
        <v>120</v>
      </c>
      <c r="G140" s="43">
        <v>2.8818</v>
      </c>
      <c r="H140" s="44">
        <f t="shared" si="12"/>
        <v>345.816</v>
      </c>
      <c r="I140" s="45">
        <v>1.008</v>
      </c>
      <c r="J140" s="46">
        <f t="shared" si="13"/>
        <v>48.6446661718089</v>
      </c>
      <c r="K140" s="46">
        <f t="shared" si="14"/>
        <v>0.07262136</v>
      </c>
      <c r="L140" s="46">
        <f t="shared" si="15"/>
        <v>12.4830295896438</v>
      </c>
      <c r="M140" s="47">
        <f t="shared" si="16"/>
        <v>407.016317121453</v>
      </c>
      <c r="N140" s="46">
        <f t="shared" si="17"/>
        <v>3.39180264267877</v>
      </c>
      <c r="O140" s="48"/>
      <c r="P140" s="48"/>
      <c r="Q140" s="48"/>
      <c r="R140" s="48"/>
    </row>
    <row r="141" s="4" customFormat="1" ht="26.1" customHeight="1" spans="1:18">
      <c r="A141" s="40">
        <v>136</v>
      </c>
      <c r="B141" s="41">
        <v>9067795</v>
      </c>
      <c r="C141" s="41" t="s">
        <v>153</v>
      </c>
      <c r="D141" s="41">
        <v>3</v>
      </c>
      <c r="E141" s="42">
        <v>100</v>
      </c>
      <c r="F141" s="42">
        <v>300</v>
      </c>
      <c r="G141" s="43">
        <v>0.317</v>
      </c>
      <c r="H141" s="44">
        <f t="shared" si="12"/>
        <v>95.1</v>
      </c>
      <c r="I141" s="45">
        <v>0.2622</v>
      </c>
      <c r="J141" s="46">
        <f t="shared" si="13"/>
        <v>12.6534042363574</v>
      </c>
      <c r="K141" s="46">
        <f t="shared" si="14"/>
        <v>0.019971</v>
      </c>
      <c r="L141" s="46">
        <f t="shared" si="15"/>
        <v>3.43285479554192</v>
      </c>
      <c r="M141" s="47">
        <f t="shared" si="16"/>
        <v>111.206230031899</v>
      </c>
      <c r="N141" s="46">
        <f t="shared" si="17"/>
        <v>0.370687433439664</v>
      </c>
      <c r="O141" s="48"/>
      <c r="P141" s="48"/>
      <c r="Q141" s="48"/>
      <c r="R141" s="48"/>
    </row>
    <row r="142" s="4" customFormat="1" ht="26.1" customHeight="1" spans="1:18">
      <c r="A142" s="40">
        <v>137</v>
      </c>
      <c r="B142" s="41">
        <v>9069195</v>
      </c>
      <c r="C142" s="41" t="s">
        <v>154</v>
      </c>
      <c r="D142" s="41">
        <v>4</v>
      </c>
      <c r="E142" s="42">
        <v>24</v>
      </c>
      <c r="F142" s="42">
        <v>96</v>
      </c>
      <c r="G142" s="43">
        <v>2.5937</v>
      </c>
      <c r="H142" s="44">
        <f t="shared" si="12"/>
        <v>248.9952</v>
      </c>
      <c r="I142" s="45">
        <v>0.78</v>
      </c>
      <c r="J142" s="46">
        <f t="shared" si="13"/>
        <v>37.6417059662807</v>
      </c>
      <c r="K142" s="46">
        <f t="shared" si="14"/>
        <v>0.052288992</v>
      </c>
      <c r="L142" s="46">
        <f t="shared" si="15"/>
        <v>8.98805853193397</v>
      </c>
      <c r="M142" s="47">
        <f t="shared" si="16"/>
        <v>295.677253490215</v>
      </c>
      <c r="N142" s="46">
        <f t="shared" si="17"/>
        <v>3.07997139052307</v>
      </c>
      <c r="O142" s="48"/>
      <c r="P142" s="48"/>
      <c r="Q142" s="48"/>
      <c r="R142" s="48"/>
    </row>
    <row r="143" s="4" customFormat="1" ht="26.1" customHeight="1" spans="1:18">
      <c r="A143" s="40">
        <v>138</v>
      </c>
      <c r="B143" s="41">
        <v>9069783</v>
      </c>
      <c r="C143" s="41" t="s">
        <v>155</v>
      </c>
      <c r="D143" s="41">
        <v>1</v>
      </c>
      <c r="E143" s="42">
        <v>200</v>
      </c>
      <c r="F143" s="42">
        <v>200</v>
      </c>
      <c r="G143" s="43">
        <v>0.6052</v>
      </c>
      <c r="H143" s="44">
        <f t="shared" si="12"/>
        <v>121.04</v>
      </c>
      <c r="I143" s="45">
        <v>0.1138</v>
      </c>
      <c r="J143" s="46">
        <f t="shared" si="13"/>
        <v>5.49182838328556</v>
      </c>
      <c r="K143" s="46">
        <f t="shared" si="14"/>
        <v>0.0254184</v>
      </c>
      <c r="L143" s="46">
        <f t="shared" si="15"/>
        <v>4.36921918456777</v>
      </c>
      <c r="M143" s="47">
        <f t="shared" si="16"/>
        <v>130.926465967853</v>
      </c>
      <c r="N143" s="46">
        <f t="shared" si="17"/>
        <v>0.654632329839267</v>
      </c>
      <c r="O143" s="48"/>
      <c r="P143" s="48"/>
      <c r="Q143" s="48"/>
      <c r="R143" s="48"/>
    </row>
    <row r="144" s="4" customFormat="1" ht="26.1" customHeight="1" spans="1:18">
      <c r="A144" s="40">
        <v>139</v>
      </c>
      <c r="B144" s="41">
        <v>9069993</v>
      </c>
      <c r="C144" s="41" t="s">
        <v>156</v>
      </c>
      <c r="D144" s="41">
        <v>2</v>
      </c>
      <c r="E144" s="42">
        <v>20</v>
      </c>
      <c r="F144" s="42">
        <v>40</v>
      </c>
      <c r="G144" s="43">
        <v>2.8098</v>
      </c>
      <c r="H144" s="44">
        <f t="shared" si="12"/>
        <v>112.392</v>
      </c>
      <c r="I144" s="45">
        <v>0.1724</v>
      </c>
      <c r="J144" s="46">
        <f t="shared" si="13"/>
        <v>8.31978219049588</v>
      </c>
      <c r="K144" s="46">
        <f t="shared" si="14"/>
        <v>0.02360232</v>
      </c>
      <c r="L144" s="46">
        <f t="shared" si="15"/>
        <v>4.05704959180387</v>
      </c>
      <c r="M144" s="47">
        <f t="shared" si="16"/>
        <v>124.7924341023</v>
      </c>
      <c r="N144" s="46">
        <f t="shared" si="17"/>
        <v>3.11981085255749</v>
      </c>
      <c r="O144" s="48"/>
      <c r="P144" s="48"/>
      <c r="Q144" s="48"/>
      <c r="R144" s="48"/>
    </row>
    <row r="145" s="4" customFormat="1" ht="26.1" customHeight="1" spans="1:18">
      <c r="A145" s="40">
        <v>140</v>
      </c>
      <c r="B145" s="41">
        <v>8951683</v>
      </c>
      <c r="C145" s="41" t="s">
        <v>157</v>
      </c>
      <c r="D145" s="41">
        <v>5</v>
      </c>
      <c r="E145" s="42">
        <v>144</v>
      </c>
      <c r="F145" s="42">
        <v>720</v>
      </c>
      <c r="G145" s="43">
        <v>0.3746</v>
      </c>
      <c r="H145" s="44">
        <f t="shared" si="12"/>
        <v>269.712</v>
      </c>
      <c r="I145" s="45">
        <v>0.15855</v>
      </c>
      <c r="J145" s="46">
        <f t="shared" si="13"/>
        <v>7.65140061660743</v>
      </c>
      <c r="K145" s="46">
        <f t="shared" si="14"/>
        <v>0.05663952</v>
      </c>
      <c r="L145" s="46">
        <f t="shared" si="15"/>
        <v>9.73587941761518</v>
      </c>
      <c r="M145" s="47">
        <f t="shared" si="16"/>
        <v>287.155919554223</v>
      </c>
      <c r="N145" s="46">
        <f t="shared" si="17"/>
        <v>0.398827666047531</v>
      </c>
      <c r="O145" s="48"/>
      <c r="P145" s="48"/>
      <c r="Q145" s="48"/>
      <c r="R145" s="48"/>
    </row>
    <row r="146" s="4" customFormat="1" ht="26.1" customHeight="1" spans="1:18">
      <c r="A146" s="40">
        <v>141</v>
      </c>
      <c r="B146" s="41">
        <v>8951109</v>
      </c>
      <c r="C146" s="41" t="s">
        <v>158</v>
      </c>
      <c r="D146" s="41">
        <v>1</v>
      </c>
      <c r="E146" s="42">
        <v>200</v>
      </c>
      <c r="F146" s="42">
        <v>200</v>
      </c>
      <c r="G146" s="43">
        <v>0.3184</v>
      </c>
      <c r="H146" s="44">
        <f t="shared" si="12"/>
        <v>63.68</v>
      </c>
      <c r="I146" s="45">
        <v>0.05998</v>
      </c>
      <c r="J146" s="46">
        <f t="shared" si="13"/>
        <v>2.8945506716122</v>
      </c>
      <c r="K146" s="46">
        <f t="shared" si="14"/>
        <v>0.0133728</v>
      </c>
      <c r="L146" s="46">
        <f t="shared" si="15"/>
        <v>2.29867711230399</v>
      </c>
      <c r="M146" s="47">
        <f t="shared" si="16"/>
        <v>68.8866005839162</v>
      </c>
      <c r="N146" s="46">
        <f t="shared" si="17"/>
        <v>0.344433002919581</v>
      </c>
      <c r="O146" s="48"/>
      <c r="P146" s="48"/>
      <c r="Q146" s="48"/>
      <c r="R146" s="48"/>
    </row>
    <row r="147" s="4" customFormat="1" ht="26.1" customHeight="1" spans="1:18">
      <c r="A147" s="40">
        <v>142</v>
      </c>
      <c r="B147" s="41">
        <v>6002186</v>
      </c>
      <c r="C147" s="41" t="s">
        <v>159</v>
      </c>
      <c r="D147" s="41">
        <v>115</v>
      </c>
      <c r="E147" s="42">
        <v>6</v>
      </c>
      <c r="F147" s="42">
        <v>690</v>
      </c>
      <c r="G147" s="43">
        <v>1.4121</v>
      </c>
      <c r="H147" s="44">
        <f t="shared" si="12"/>
        <v>974.349</v>
      </c>
      <c r="I147" s="45">
        <v>3.61284</v>
      </c>
      <c r="J147" s="46">
        <f t="shared" si="13"/>
        <v>174.350591004125</v>
      </c>
      <c r="K147" s="46">
        <f t="shared" si="14"/>
        <v>0.20461329</v>
      </c>
      <c r="L147" s="46">
        <f t="shared" si="15"/>
        <v>35.1713841974919</v>
      </c>
      <c r="M147" s="47">
        <f t="shared" si="16"/>
        <v>1184.07558849162</v>
      </c>
      <c r="N147" s="46">
        <f t="shared" si="17"/>
        <v>1.71605157752408</v>
      </c>
      <c r="O147" s="48"/>
      <c r="P147" s="48"/>
      <c r="Q147" s="48"/>
      <c r="R147" s="48"/>
    </row>
    <row r="148" s="4" customFormat="1" ht="26.1" customHeight="1" spans="1:18">
      <c r="A148" s="40">
        <v>143</v>
      </c>
      <c r="B148" s="41">
        <v>9085373</v>
      </c>
      <c r="C148" s="41" t="s">
        <v>160</v>
      </c>
      <c r="D148" s="41">
        <v>1</v>
      </c>
      <c r="E148" s="42">
        <v>200</v>
      </c>
      <c r="F148" s="42">
        <v>200</v>
      </c>
      <c r="G148" s="43">
        <v>0.3242</v>
      </c>
      <c r="H148" s="44">
        <f t="shared" si="12"/>
        <v>64.84</v>
      </c>
      <c r="I148" s="45">
        <v>0.05998</v>
      </c>
      <c r="J148" s="46">
        <f t="shared" si="13"/>
        <v>2.8945506716122</v>
      </c>
      <c r="K148" s="46">
        <f t="shared" si="14"/>
        <v>0.0136164</v>
      </c>
      <c r="L148" s="46">
        <f t="shared" si="15"/>
        <v>2.34054999939998</v>
      </c>
      <c r="M148" s="47">
        <f t="shared" si="16"/>
        <v>70.0887170710122</v>
      </c>
      <c r="N148" s="46">
        <f t="shared" si="17"/>
        <v>0.350443585355061</v>
      </c>
      <c r="O148" s="48"/>
      <c r="P148" s="48"/>
      <c r="Q148" s="48"/>
      <c r="R148" s="48"/>
    </row>
    <row r="149" s="4" customFormat="1" ht="26.1" customHeight="1" spans="1:18">
      <c r="A149" s="40">
        <v>144</v>
      </c>
      <c r="B149" s="41">
        <v>9039766</v>
      </c>
      <c r="C149" s="41" t="s">
        <v>161</v>
      </c>
      <c r="D149" s="41">
        <v>1</v>
      </c>
      <c r="E149" s="42">
        <v>120</v>
      </c>
      <c r="F149" s="42">
        <v>120</v>
      </c>
      <c r="G149" s="43">
        <v>0.3602</v>
      </c>
      <c r="H149" s="44">
        <f t="shared" si="12"/>
        <v>43.224</v>
      </c>
      <c r="I149" s="45">
        <v>0.0324</v>
      </c>
      <c r="J149" s="46">
        <f t="shared" si="13"/>
        <v>1.56357855552243</v>
      </c>
      <c r="K149" s="46">
        <f t="shared" si="14"/>
        <v>0.00907704</v>
      </c>
      <c r="L149" s="46">
        <f t="shared" si="15"/>
        <v>1.56027040675609</v>
      </c>
      <c r="M149" s="47">
        <f t="shared" si="16"/>
        <v>46.3569260022785</v>
      </c>
      <c r="N149" s="46">
        <f t="shared" si="17"/>
        <v>0.386307716685654</v>
      </c>
      <c r="O149" s="48"/>
      <c r="P149" s="48"/>
      <c r="Q149" s="48"/>
      <c r="R149" s="48"/>
    </row>
    <row r="150" s="4" customFormat="1" ht="26.1" customHeight="1" spans="1:18">
      <c r="A150" s="40">
        <v>145</v>
      </c>
      <c r="B150" s="41">
        <v>9047121</v>
      </c>
      <c r="C150" s="41" t="s">
        <v>162</v>
      </c>
      <c r="D150" s="41">
        <v>3</v>
      </c>
      <c r="E150" s="42">
        <v>48</v>
      </c>
      <c r="F150" s="42">
        <v>144</v>
      </c>
      <c r="G150" s="43">
        <v>1.2248</v>
      </c>
      <c r="H150" s="44">
        <f t="shared" si="12"/>
        <v>176.3712</v>
      </c>
      <c r="I150" s="45">
        <v>0.58515</v>
      </c>
      <c r="J150" s="46">
        <f t="shared" si="13"/>
        <v>28.2385182643194</v>
      </c>
      <c r="K150" s="46">
        <f t="shared" si="14"/>
        <v>0.037037952</v>
      </c>
      <c r="L150" s="46">
        <f t="shared" si="15"/>
        <v>6.36652702119331</v>
      </c>
      <c r="M150" s="47">
        <f t="shared" si="16"/>
        <v>211.013283237513</v>
      </c>
      <c r="N150" s="46">
        <f t="shared" si="17"/>
        <v>1.46537002248273</v>
      </c>
      <c r="O150" s="48"/>
      <c r="P150" s="48"/>
      <c r="Q150" s="48"/>
      <c r="R150" s="48"/>
    </row>
    <row r="151" s="4" customFormat="1" ht="26.1" customHeight="1" spans="1:18">
      <c r="A151" s="40">
        <v>146</v>
      </c>
      <c r="B151" s="41">
        <v>9047122</v>
      </c>
      <c r="C151" s="41" t="s">
        <v>163</v>
      </c>
      <c r="D151" s="41">
        <v>2</v>
      </c>
      <c r="E151" s="42">
        <v>96</v>
      </c>
      <c r="F151" s="42">
        <v>192</v>
      </c>
      <c r="G151" s="43">
        <v>1.268</v>
      </c>
      <c r="H151" s="44">
        <f t="shared" si="12"/>
        <v>243.456</v>
      </c>
      <c r="I151" s="45">
        <v>0.39</v>
      </c>
      <c r="J151" s="46">
        <f t="shared" si="13"/>
        <v>18.8208529831403</v>
      </c>
      <c r="K151" s="46">
        <f t="shared" si="14"/>
        <v>0.05112576</v>
      </c>
      <c r="L151" s="46">
        <f t="shared" si="15"/>
        <v>8.78810827658732</v>
      </c>
      <c r="M151" s="47">
        <f t="shared" si="16"/>
        <v>271.116087019728</v>
      </c>
      <c r="N151" s="46">
        <f t="shared" si="17"/>
        <v>1.41206295322775</v>
      </c>
      <c r="O151" s="48"/>
      <c r="P151" s="48"/>
      <c r="Q151" s="48"/>
      <c r="R151" s="48"/>
    </row>
    <row r="152" s="4" customFormat="1" ht="26.1" customHeight="1" spans="1:18">
      <c r="A152" s="40">
        <v>147</v>
      </c>
      <c r="B152" s="41">
        <v>9047916</v>
      </c>
      <c r="C152" s="41" t="s">
        <v>164</v>
      </c>
      <c r="D152" s="41">
        <v>1</v>
      </c>
      <c r="E152" s="42">
        <v>96</v>
      </c>
      <c r="F152" s="42">
        <v>96</v>
      </c>
      <c r="G152" s="43">
        <v>1.3977</v>
      </c>
      <c r="H152" s="44">
        <f t="shared" si="12"/>
        <v>134.1792</v>
      </c>
      <c r="I152" s="45">
        <v>0.1587</v>
      </c>
      <c r="J152" s="46">
        <f t="shared" si="13"/>
        <v>7.65863940621633</v>
      </c>
      <c r="K152" s="46">
        <f t="shared" si="14"/>
        <v>0.028177632</v>
      </c>
      <c r="L152" s="46">
        <f t="shared" si="15"/>
        <v>4.84350904502607</v>
      </c>
      <c r="M152" s="47">
        <f t="shared" si="16"/>
        <v>146.709526083242</v>
      </c>
      <c r="N152" s="46">
        <f t="shared" si="17"/>
        <v>1.52822423003377</v>
      </c>
      <c r="O152" s="48"/>
      <c r="P152" s="48"/>
      <c r="Q152" s="48"/>
      <c r="R152" s="48"/>
    </row>
    <row r="153" s="4" customFormat="1" ht="26.1" customHeight="1" spans="1:18">
      <c r="A153" s="40">
        <v>148</v>
      </c>
      <c r="B153" s="41">
        <v>6001503</v>
      </c>
      <c r="C153" s="41" t="s">
        <v>165</v>
      </c>
      <c r="D153" s="41">
        <v>68</v>
      </c>
      <c r="E153" s="42">
        <v>24</v>
      </c>
      <c r="F153" s="42">
        <v>1632</v>
      </c>
      <c r="G153" s="43">
        <v>0.67</v>
      </c>
      <c r="H153" s="44">
        <f t="shared" si="12"/>
        <v>1093.44</v>
      </c>
      <c r="I153" s="45">
        <v>1.020272</v>
      </c>
      <c r="J153" s="46">
        <f t="shared" si="13"/>
        <v>49.2368956790117</v>
      </c>
      <c r="K153" s="46">
        <f t="shared" si="14"/>
        <v>0.2296224</v>
      </c>
      <c r="L153" s="46">
        <f t="shared" si="15"/>
        <v>39.4702497122751</v>
      </c>
      <c r="M153" s="47">
        <f t="shared" si="16"/>
        <v>1182.37676779129</v>
      </c>
      <c r="N153" s="46">
        <f t="shared" si="17"/>
        <v>0.724495568499563</v>
      </c>
      <c r="O153" s="48"/>
      <c r="P153" s="48"/>
      <c r="Q153" s="48"/>
      <c r="R153" s="48"/>
    </row>
    <row r="154" s="4" customFormat="1" ht="26.1" customHeight="1" spans="1:18">
      <c r="A154" s="40">
        <v>149</v>
      </c>
      <c r="B154" s="41">
        <v>6001502</v>
      </c>
      <c r="C154" s="41" t="s">
        <v>166</v>
      </c>
      <c r="D154" s="41">
        <v>36</v>
      </c>
      <c r="E154" s="42">
        <v>24</v>
      </c>
      <c r="F154" s="42">
        <v>864</v>
      </c>
      <c r="G154" s="43">
        <v>1.1888</v>
      </c>
      <c r="H154" s="44">
        <f t="shared" si="12"/>
        <v>1027.1232</v>
      </c>
      <c r="I154" s="45">
        <v>1.12752</v>
      </c>
      <c r="J154" s="46">
        <f t="shared" si="13"/>
        <v>54.4125337321805</v>
      </c>
      <c r="K154" s="46">
        <f t="shared" si="14"/>
        <v>0.215695872</v>
      </c>
      <c r="L154" s="46">
        <f t="shared" si="15"/>
        <v>37.0763911959239</v>
      </c>
      <c r="M154" s="47">
        <f t="shared" si="16"/>
        <v>1118.8278208001</v>
      </c>
      <c r="N154" s="46">
        <f t="shared" si="17"/>
        <v>1.29493960740753</v>
      </c>
      <c r="O154" s="48"/>
      <c r="P154" s="48"/>
      <c r="Q154" s="48"/>
      <c r="R154" s="48"/>
    </row>
    <row r="155" s="4" customFormat="1" ht="26.1" customHeight="1" spans="1:18">
      <c r="A155" s="40">
        <v>150</v>
      </c>
      <c r="B155" s="41">
        <v>8978149</v>
      </c>
      <c r="C155" s="41" t="s">
        <v>167</v>
      </c>
      <c r="D155" s="41">
        <v>1</v>
      </c>
      <c r="E155" s="42">
        <v>288</v>
      </c>
      <c r="F155" s="42">
        <v>288</v>
      </c>
      <c r="G155" s="43">
        <v>0.1369</v>
      </c>
      <c r="H155" s="44">
        <f t="shared" si="12"/>
        <v>39.4272</v>
      </c>
      <c r="I155" s="45">
        <v>0.156</v>
      </c>
      <c r="J155" s="46">
        <f t="shared" si="13"/>
        <v>7.52834119325613</v>
      </c>
      <c r="K155" s="46">
        <f t="shared" si="14"/>
        <v>0.008279712</v>
      </c>
      <c r="L155" s="46">
        <f t="shared" si="15"/>
        <v>1.42321611561294</v>
      </c>
      <c r="M155" s="47">
        <f t="shared" si="16"/>
        <v>48.3870370208691</v>
      </c>
      <c r="N155" s="46">
        <f t="shared" si="17"/>
        <v>0.168010545211351</v>
      </c>
      <c r="O155" s="48"/>
      <c r="P155" s="48"/>
      <c r="Q155" s="48"/>
      <c r="R155" s="48"/>
    </row>
    <row r="156" s="4" customFormat="1" ht="26.1" customHeight="1" spans="1:18">
      <c r="A156" s="40">
        <v>151</v>
      </c>
      <c r="B156" s="41">
        <v>6001268</v>
      </c>
      <c r="C156" s="41" t="s">
        <v>168</v>
      </c>
      <c r="D156" s="41">
        <v>34</v>
      </c>
      <c r="E156" s="42">
        <v>18</v>
      </c>
      <c r="F156" s="42">
        <v>612</v>
      </c>
      <c r="G156" s="43">
        <v>0.8213</v>
      </c>
      <c r="H156" s="44">
        <f t="shared" si="12"/>
        <v>502.6356</v>
      </c>
      <c r="I156" s="45">
        <v>0.39168</v>
      </c>
      <c r="J156" s="46">
        <f t="shared" si="13"/>
        <v>18.90192742676</v>
      </c>
      <c r="K156" s="46">
        <f t="shared" si="14"/>
        <v>0.105553476</v>
      </c>
      <c r="L156" s="46">
        <f t="shared" si="15"/>
        <v>18.1437963182975</v>
      </c>
      <c r="M156" s="47">
        <f t="shared" si="16"/>
        <v>539.786877221057</v>
      </c>
      <c r="N156" s="46">
        <f t="shared" si="17"/>
        <v>0.882004701341597</v>
      </c>
      <c r="O156" s="48"/>
      <c r="P156" s="48"/>
      <c r="Q156" s="48"/>
      <c r="R156" s="48"/>
    </row>
    <row r="157" s="4" customFormat="1" ht="26.1" customHeight="1" spans="1:18">
      <c r="A157" s="40">
        <v>152</v>
      </c>
      <c r="B157" s="41">
        <v>6001239</v>
      </c>
      <c r="C157" s="41" t="s">
        <v>169</v>
      </c>
      <c r="D157" s="41">
        <v>4</v>
      </c>
      <c r="E157" s="42">
        <v>250</v>
      </c>
      <c r="F157" s="42">
        <v>1000</v>
      </c>
      <c r="G157" s="43">
        <v>0.1873</v>
      </c>
      <c r="H157" s="44">
        <f t="shared" si="12"/>
        <v>187.3</v>
      </c>
      <c r="I157" s="45">
        <v>0.093456</v>
      </c>
      <c r="J157" s="46">
        <f t="shared" si="13"/>
        <v>4.51005547792913</v>
      </c>
      <c r="K157" s="46">
        <f t="shared" si="14"/>
        <v>0.039333</v>
      </c>
      <c r="L157" s="46">
        <f t="shared" si="15"/>
        <v>6.76102737334387</v>
      </c>
      <c r="M157" s="47">
        <f t="shared" si="16"/>
        <v>198.610415851273</v>
      </c>
      <c r="N157" s="46">
        <f t="shared" si="17"/>
        <v>0.198610415851273</v>
      </c>
      <c r="O157" s="48"/>
      <c r="P157" s="48"/>
      <c r="Q157" s="48"/>
      <c r="R157" s="48"/>
    </row>
    <row r="158" s="4" customFormat="1" ht="26.1" customHeight="1" spans="1:18">
      <c r="A158" s="40">
        <v>153</v>
      </c>
      <c r="B158" s="41">
        <v>8000298</v>
      </c>
      <c r="C158" s="41" t="s">
        <v>170</v>
      </c>
      <c r="D158" s="41">
        <v>2</v>
      </c>
      <c r="E158" s="42">
        <v>60</v>
      </c>
      <c r="F158" s="42">
        <v>120</v>
      </c>
      <c r="G158" s="43">
        <v>1.585</v>
      </c>
      <c r="H158" s="44">
        <f t="shared" si="12"/>
        <v>190.2</v>
      </c>
      <c r="I158" s="45">
        <v>0.1816</v>
      </c>
      <c r="J158" s="46">
        <f t="shared" si="13"/>
        <v>8.76376128650842</v>
      </c>
      <c r="K158" s="46">
        <f t="shared" si="14"/>
        <v>0.039942</v>
      </c>
      <c r="L158" s="46">
        <f t="shared" si="15"/>
        <v>6.86570959108385</v>
      </c>
      <c r="M158" s="47">
        <f t="shared" si="16"/>
        <v>205.869412877592</v>
      </c>
      <c r="N158" s="46">
        <f t="shared" si="17"/>
        <v>1.7155784406466</v>
      </c>
      <c r="O158" s="48"/>
      <c r="P158" s="48"/>
      <c r="Q158" s="48"/>
      <c r="R158" s="48"/>
    </row>
    <row r="159" s="4" customFormat="1" ht="26.1" customHeight="1" spans="1:18">
      <c r="A159" s="40">
        <v>154</v>
      </c>
      <c r="B159" s="41">
        <v>8000308</v>
      </c>
      <c r="C159" s="41" t="s">
        <v>171</v>
      </c>
      <c r="D159" s="41">
        <v>2</v>
      </c>
      <c r="E159" s="42">
        <v>60</v>
      </c>
      <c r="F159" s="42">
        <v>120</v>
      </c>
      <c r="G159" s="43">
        <v>1.2968</v>
      </c>
      <c r="H159" s="44">
        <f t="shared" si="12"/>
        <v>155.616</v>
      </c>
      <c r="I159" s="45">
        <v>0.105</v>
      </c>
      <c r="J159" s="46">
        <f t="shared" si="13"/>
        <v>5.06715272623009</v>
      </c>
      <c r="K159" s="46">
        <f t="shared" si="14"/>
        <v>0.03267936</v>
      </c>
      <c r="L159" s="46">
        <f t="shared" si="15"/>
        <v>5.61731999855996</v>
      </c>
      <c r="M159" s="47">
        <f t="shared" si="16"/>
        <v>166.33315208479</v>
      </c>
      <c r="N159" s="46">
        <f t="shared" si="17"/>
        <v>1.38610960070658</v>
      </c>
      <c r="O159" s="48"/>
      <c r="P159" s="48"/>
      <c r="Q159" s="48"/>
      <c r="R159" s="48"/>
    </row>
    <row r="160" s="4" customFormat="1" ht="26.1" customHeight="1" spans="1:18">
      <c r="A160" s="40">
        <v>155</v>
      </c>
      <c r="B160" s="41">
        <v>8000316</v>
      </c>
      <c r="C160" s="41" t="s">
        <v>172</v>
      </c>
      <c r="D160" s="41">
        <v>1</v>
      </c>
      <c r="E160" s="42">
        <v>120</v>
      </c>
      <c r="F160" s="42">
        <v>120</v>
      </c>
      <c r="G160" s="43">
        <v>0.5764</v>
      </c>
      <c r="H160" s="44">
        <f t="shared" si="12"/>
        <v>69.168</v>
      </c>
      <c r="I160" s="45">
        <v>0.0614</v>
      </c>
      <c r="J160" s="46">
        <f t="shared" si="13"/>
        <v>2.96307787990979</v>
      </c>
      <c r="K160" s="46">
        <f t="shared" si="14"/>
        <v>0.01452528</v>
      </c>
      <c r="L160" s="46">
        <f t="shared" si="15"/>
        <v>2.49677918504778</v>
      </c>
      <c r="M160" s="47">
        <f t="shared" si="16"/>
        <v>74.6423823449576</v>
      </c>
      <c r="N160" s="46">
        <f t="shared" si="17"/>
        <v>0.622019852874647</v>
      </c>
      <c r="O160" s="48"/>
      <c r="P160" s="48"/>
      <c r="Q160" s="48"/>
      <c r="R160" s="48"/>
    </row>
    <row r="161" s="4" customFormat="1" ht="26.1" customHeight="1" spans="1:18">
      <c r="A161" s="40">
        <v>156</v>
      </c>
      <c r="B161" s="41">
        <v>8000318</v>
      </c>
      <c r="C161" s="41" t="s">
        <v>173</v>
      </c>
      <c r="D161" s="41">
        <v>2</v>
      </c>
      <c r="E161" s="42">
        <v>72</v>
      </c>
      <c r="F161" s="42">
        <v>144</v>
      </c>
      <c r="G161" s="43">
        <v>0.7493</v>
      </c>
      <c r="H161" s="44">
        <f t="shared" si="12"/>
        <v>107.8992</v>
      </c>
      <c r="I161" s="45">
        <v>0.072</v>
      </c>
      <c r="J161" s="46">
        <f t="shared" si="13"/>
        <v>3.47461901227206</v>
      </c>
      <c r="K161" s="46">
        <f t="shared" si="14"/>
        <v>0.022658832</v>
      </c>
      <c r="L161" s="46">
        <f t="shared" si="15"/>
        <v>3.89487156840312</v>
      </c>
      <c r="M161" s="47">
        <f t="shared" si="16"/>
        <v>115.291349412675</v>
      </c>
      <c r="N161" s="46">
        <f t="shared" si="17"/>
        <v>0.800634370921355</v>
      </c>
      <c r="O161" s="48"/>
      <c r="P161" s="48"/>
      <c r="Q161" s="48"/>
      <c r="R161" s="48"/>
    </row>
    <row r="162" s="4" customFormat="1" ht="26.1" customHeight="1" spans="1:18">
      <c r="A162" s="40">
        <v>157</v>
      </c>
      <c r="B162" s="41">
        <v>6001010</v>
      </c>
      <c r="C162" s="41" t="s">
        <v>174</v>
      </c>
      <c r="D162" s="41">
        <v>1</v>
      </c>
      <c r="E162" s="42">
        <v>144</v>
      </c>
      <c r="F162" s="42">
        <v>144</v>
      </c>
      <c r="G162" s="43">
        <v>0.8473</v>
      </c>
      <c r="H162" s="44">
        <f t="shared" si="12"/>
        <v>122.0112</v>
      </c>
      <c r="I162" s="45">
        <v>0.054694</v>
      </c>
      <c r="J162" s="46">
        <f t="shared" si="13"/>
        <v>2.63945572579456</v>
      </c>
      <c r="K162" s="46">
        <f t="shared" si="14"/>
        <v>0.025622352</v>
      </c>
      <c r="L162" s="46">
        <f t="shared" si="15"/>
        <v>4.40427689831572</v>
      </c>
      <c r="M162" s="47">
        <f t="shared" si="16"/>
        <v>129.08055497611</v>
      </c>
      <c r="N162" s="46">
        <f t="shared" si="17"/>
        <v>0.896392742889655</v>
      </c>
      <c r="O162" s="48"/>
      <c r="P162" s="48"/>
      <c r="Q162" s="48"/>
      <c r="R162" s="48"/>
    </row>
    <row r="163" s="4" customFormat="1" ht="26.1" customHeight="1" spans="1:18">
      <c r="A163" s="40">
        <v>158</v>
      </c>
      <c r="B163" s="41">
        <v>6001022</v>
      </c>
      <c r="C163" s="41" t="s">
        <v>175</v>
      </c>
      <c r="D163" s="41">
        <v>12</v>
      </c>
      <c r="E163" s="42">
        <v>12</v>
      </c>
      <c r="F163" s="42">
        <v>144</v>
      </c>
      <c r="G163" s="43">
        <v>0.3703</v>
      </c>
      <c r="H163" s="44">
        <f t="shared" si="12"/>
        <v>53.3232</v>
      </c>
      <c r="I163" s="45">
        <v>0.0606</v>
      </c>
      <c r="J163" s="46">
        <f t="shared" si="13"/>
        <v>2.92447100199565</v>
      </c>
      <c r="K163" s="46">
        <f t="shared" si="14"/>
        <v>0.011197872</v>
      </c>
      <c r="L163" s="46">
        <f t="shared" si="15"/>
        <v>1.92482442516973</v>
      </c>
      <c r="M163" s="47">
        <f t="shared" si="16"/>
        <v>58.1836932991654</v>
      </c>
      <c r="N163" s="46">
        <f t="shared" si="17"/>
        <v>0.404053425688648</v>
      </c>
      <c r="O163" s="48"/>
      <c r="P163" s="48"/>
      <c r="Q163" s="48"/>
      <c r="R163" s="48"/>
    </row>
    <row r="164" s="4" customFormat="1" ht="26.1" customHeight="1" spans="1:18">
      <c r="A164" s="40">
        <v>159</v>
      </c>
      <c r="B164" s="41">
        <v>6001039</v>
      </c>
      <c r="C164" s="41" t="s">
        <v>176</v>
      </c>
      <c r="D164" s="41">
        <v>1</v>
      </c>
      <c r="E164" s="42">
        <v>288</v>
      </c>
      <c r="F164" s="42">
        <v>288</v>
      </c>
      <c r="G164" s="43">
        <v>0.4164</v>
      </c>
      <c r="H164" s="44">
        <f t="shared" si="12"/>
        <v>119.9232</v>
      </c>
      <c r="I164" s="45">
        <v>0.069088</v>
      </c>
      <c r="J164" s="46">
        <f t="shared" si="13"/>
        <v>3.33408997666461</v>
      </c>
      <c r="K164" s="46">
        <f t="shared" si="14"/>
        <v>0.025183872</v>
      </c>
      <c r="L164" s="46">
        <f t="shared" si="15"/>
        <v>4.32890570154294</v>
      </c>
      <c r="M164" s="47">
        <f t="shared" si="16"/>
        <v>127.611379550208</v>
      </c>
      <c r="N164" s="46">
        <f t="shared" si="17"/>
        <v>0.443095067882665</v>
      </c>
      <c r="O164" s="48"/>
      <c r="P164" s="48"/>
      <c r="Q164" s="48"/>
      <c r="R164" s="48"/>
    </row>
    <row r="165" s="4" customFormat="1" ht="26.1" customHeight="1" spans="1:18">
      <c r="A165" s="40">
        <v>160</v>
      </c>
      <c r="B165" s="41">
        <v>6001060</v>
      </c>
      <c r="C165" s="41" t="s">
        <v>177</v>
      </c>
      <c r="D165" s="41">
        <v>1</v>
      </c>
      <c r="E165" s="42">
        <v>144</v>
      </c>
      <c r="F165" s="42">
        <v>144</v>
      </c>
      <c r="G165" s="43">
        <v>0.2349</v>
      </c>
      <c r="H165" s="44">
        <f t="shared" si="12"/>
        <v>33.8256</v>
      </c>
      <c r="I165" s="45">
        <v>0.031635</v>
      </c>
      <c r="J165" s="46">
        <f t="shared" si="13"/>
        <v>1.52666072851704</v>
      </c>
      <c r="K165" s="46">
        <f t="shared" si="14"/>
        <v>0.007103376</v>
      </c>
      <c r="L165" s="46">
        <f t="shared" si="15"/>
        <v>1.22101338771906</v>
      </c>
      <c r="M165" s="47">
        <f t="shared" si="16"/>
        <v>36.5803774922361</v>
      </c>
      <c r="N165" s="46">
        <f t="shared" si="17"/>
        <v>0.25403039925164</v>
      </c>
      <c r="O165" s="48"/>
      <c r="P165" s="48"/>
      <c r="Q165" s="48"/>
      <c r="R165" s="48"/>
    </row>
    <row r="166" s="4" customFormat="1" ht="26.1" customHeight="1" spans="1:18">
      <c r="A166" s="40">
        <v>161</v>
      </c>
      <c r="B166" s="41">
        <v>6001063</v>
      </c>
      <c r="C166" s="41" t="s">
        <v>178</v>
      </c>
      <c r="D166" s="41">
        <v>5</v>
      </c>
      <c r="E166" s="42">
        <v>72</v>
      </c>
      <c r="F166" s="42">
        <v>360</v>
      </c>
      <c r="G166" s="43">
        <v>1.8156</v>
      </c>
      <c r="H166" s="44">
        <f t="shared" si="12"/>
        <v>653.616</v>
      </c>
      <c r="I166" s="45">
        <v>0.06647</v>
      </c>
      <c r="J166" s="46">
        <f t="shared" si="13"/>
        <v>3.20774896869061</v>
      </c>
      <c r="K166" s="46">
        <f t="shared" si="14"/>
        <v>0.13725936</v>
      </c>
      <c r="L166" s="46">
        <f t="shared" si="15"/>
        <v>23.5937835966659</v>
      </c>
      <c r="M166" s="47">
        <f t="shared" si="16"/>
        <v>680.554791925357</v>
      </c>
      <c r="N166" s="46">
        <f t="shared" si="17"/>
        <v>1.89042997757043</v>
      </c>
      <c r="O166" s="48"/>
      <c r="P166" s="48"/>
      <c r="Q166" s="48"/>
      <c r="R166" s="48"/>
    </row>
    <row r="167" s="4" customFormat="1" ht="26.1" customHeight="1" spans="1:18">
      <c r="A167" s="40">
        <v>162</v>
      </c>
      <c r="B167" s="41">
        <v>6001075</v>
      </c>
      <c r="C167" s="41" t="s">
        <v>179</v>
      </c>
      <c r="D167" s="41">
        <v>3</v>
      </c>
      <c r="E167" s="42">
        <v>72</v>
      </c>
      <c r="F167" s="42">
        <v>216</v>
      </c>
      <c r="G167" s="43">
        <v>0.719</v>
      </c>
      <c r="H167" s="44">
        <f t="shared" si="12"/>
        <v>155.304</v>
      </c>
      <c r="I167" s="45">
        <v>0.056376</v>
      </c>
      <c r="J167" s="46">
        <f t="shared" si="13"/>
        <v>2.72062668660902</v>
      </c>
      <c r="K167" s="46">
        <f t="shared" si="14"/>
        <v>0.03261384</v>
      </c>
      <c r="L167" s="46">
        <f t="shared" si="15"/>
        <v>5.6060576358238</v>
      </c>
      <c r="M167" s="47">
        <f t="shared" si="16"/>
        <v>163.663298162433</v>
      </c>
      <c r="N167" s="46">
        <f t="shared" si="17"/>
        <v>0.757700454455708</v>
      </c>
      <c r="O167" s="48"/>
      <c r="P167" s="48"/>
      <c r="Q167" s="48"/>
      <c r="R167" s="48"/>
    </row>
    <row r="168" s="4" customFormat="1" ht="26.1" customHeight="1" spans="1:18">
      <c r="A168" s="40">
        <v>163</v>
      </c>
      <c r="B168" s="41">
        <v>6001078</v>
      </c>
      <c r="C168" s="41" t="s">
        <v>180</v>
      </c>
      <c r="D168" s="41">
        <v>1</v>
      </c>
      <c r="E168" s="42">
        <v>144</v>
      </c>
      <c r="F168" s="42">
        <v>144</v>
      </c>
      <c r="G168" s="43">
        <v>0.6816</v>
      </c>
      <c r="H168" s="44">
        <f t="shared" si="12"/>
        <v>98.1504</v>
      </c>
      <c r="I168" s="45">
        <v>0.019734</v>
      </c>
      <c r="J168" s="46">
        <f t="shared" si="13"/>
        <v>0.952335160946901</v>
      </c>
      <c r="K168" s="46">
        <f t="shared" si="14"/>
        <v>0.020611584</v>
      </c>
      <c r="L168" s="46">
        <f t="shared" si="15"/>
        <v>3.54296604967779</v>
      </c>
      <c r="M168" s="47">
        <f t="shared" si="16"/>
        <v>102.666312794625</v>
      </c>
      <c r="N168" s="46">
        <f t="shared" si="17"/>
        <v>0.712960505518227</v>
      </c>
      <c r="O168" s="48"/>
      <c r="P168" s="48"/>
      <c r="Q168" s="48"/>
      <c r="R168" s="48"/>
    </row>
    <row r="169" s="4" customFormat="1" ht="26.1" customHeight="1" spans="1:18">
      <c r="A169" s="40">
        <v>164</v>
      </c>
      <c r="B169" s="41">
        <v>6001095</v>
      </c>
      <c r="C169" s="41" t="s">
        <v>181</v>
      </c>
      <c r="D169" s="41">
        <v>3</v>
      </c>
      <c r="E169" s="42">
        <v>120</v>
      </c>
      <c r="F169" s="42">
        <v>360</v>
      </c>
      <c r="G169" s="43">
        <v>0.6427</v>
      </c>
      <c r="H169" s="44">
        <f t="shared" si="12"/>
        <v>231.372</v>
      </c>
      <c r="I169" s="45">
        <v>0.09882</v>
      </c>
      <c r="J169" s="46">
        <f t="shared" si="13"/>
        <v>4.7689145943434</v>
      </c>
      <c r="K169" s="46">
        <f t="shared" si="14"/>
        <v>0.04858812</v>
      </c>
      <c r="L169" s="46">
        <f t="shared" si="15"/>
        <v>8.35190830445979</v>
      </c>
      <c r="M169" s="47">
        <f t="shared" si="16"/>
        <v>244.541411018803</v>
      </c>
      <c r="N169" s="46">
        <f t="shared" si="17"/>
        <v>0.679281697274453</v>
      </c>
      <c r="O169" s="48"/>
      <c r="P169" s="48"/>
      <c r="Q169" s="48"/>
      <c r="R169" s="48"/>
    </row>
    <row r="170" s="4" customFormat="1" ht="26.1" customHeight="1" spans="1:18">
      <c r="A170" s="40">
        <v>165</v>
      </c>
      <c r="B170" s="41">
        <v>6001104</v>
      </c>
      <c r="C170" s="41" t="s">
        <v>182</v>
      </c>
      <c r="D170" s="41">
        <v>16</v>
      </c>
      <c r="E170" s="42">
        <v>12</v>
      </c>
      <c r="F170" s="42">
        <v>192</v>
      </c>
      <c r="G170" s="43">
        <v>0.9841</v>
      </c>
      <c r="H170" s="44">
        <f t="shared" si="12"/>
        <v>188.9472</v>
      </c>
      <c r="I170" s="45">
        <v>0.0416</v>
      </c>
      <c r="J170" s="46">
        <f t="shared" si="13"/>
        <v>2.00755765153497</v>
      </c>
      <c r="K170" s="46">
        <f t="shared" si="14"/>
        <v>0.039678912</v>
      </c>
      <c r="L170" s="46">
        <f t="shared" si="15"/>
        <v>6.82048687302018</v>
      </c>
      <c r="M170" s="47">
        <f t="shared" si="16"/>
        <v>197.814923436555</v>
      </c>
      <c r="N170" s="46">
        <f t="shared" si="17"/>
        <v>1.03028605956539</v>
      </c>
      <c r="O170" s="48"/>
      <c r="P170" s="48"/>
      <c r="Q170" s="48"/>
      <c r="R170" s="48"/>
    </row>
    <row r="171" s="4" customFormat="1" ht="26.1" customHeight="1" spans="1:18">
      <c r="A171" s="40">
        <v>166</v>
      </c>
      <c r="B171" s="41">
        <v>6001107</v>
      </c>
      <c r="C171" s="41" t="s">
        <v>183</v>
      </c>
      <c r="D171" s="41">
        <v>1</v>
      </c>
      <c r="E171" s="42">
        <v>72</v>
      </c>
      <c r="F171" s="42">
        <v>72</v>
      </c>
      <c r="G171" s="43">
        <v>1.1729</v>
      </c>
      <c r="H171" s="44">
        <f t="shared" si="12"/>
        <v>84.4488</v>
      </c>
      <c r="I171" s="45">
        <v>0.01992</v>
      </c>
      <c r="J171" s="46">
        <f t="shared" si="13"/>
        <v>0.961311260061937</v>
      </c>
      <c r="K171" s="46">
        <f t="shared" si="14"/>
        <v>0.017734248</v>
      </c>
      <c r="L171" s="46">
        <f t="shared" si="15"/>
        <v>3.04837505844123</v>
      </c>
      <c r="M171" s="47">
        <f t="shared" si="16"/>
        <v>88.4762205665032</v>
      </c>
      <c r="N171" s="46">
        <f t="shared" si="17"/>
        <v>1.22883639675699</v>
      </c>
      <c r="O171" s="48"/>
      <c r="P171" s="48"/>
      <c r="Q171" s="48"/>
      <c r="R171" s="48"/>
    </row>
    <row r="172" s="4" customFormat="1" ht="26.1" customHeight="1" spans="1:18">
      <c r="A172" s="40">
        <v>167</v>
      </c>
      <c r="B172" s="41">
        <v>6001123</v>
      </c>
      <c r="C172" s="41" t="s">
        <v>184</v>
      </c>
      <c r="D172" s="41">
        <v>1</v>
      </c>
      <c r="E172" s="42">
        <v>96</v>
      </c>
      <c r="F172" s="42">
        <v>96</v>
      </c>
      <c r="G172" s="43">
        <v>1.0216</v>
      </c>
      <c r="H172" s="44">
        <f t="shared" si="12"/>
        <v>98.0736</v>
      </c>
      <c r="I172" s="45">
        <v>0.01608</v>
      </c>
      <c r="J172" s="46">
        <f t="shared" si="13"/>
        <v>0.775998246074094</v>
      </c>
      <c r="K172" s="46">
        <f t="shared" si="14"/>
        <v>0.020595456</v>
      </c>
      <c r="L172" s="46">
        <f t="shared" si="15"/>
        <v>3.54019377577351</v>
      </c>
      <c r="M172" s="47">
        <f t="shared" si="16"/>
        <v>102.410387477848</v>
      </c>
      <c r="N172" s="46">
        <f t="shared" si="17"/>
        <v>1.06677486956091</v>
      </c>
      <c r="O172" s="48"/>
      <c r="P172" s="48"/>
      <c r="Q172" s="48"/>
      <c r="R172" s="48"/>
    </row>
    <row r="173" s="4" customFormat="1" ht="26.1" customHeight="1" spans="1:18">
      <c r="A173" s="40">
        <v>168</v>
      </c>
      <c r="B173" s="41">
        <v>6001126</v>
      </c>
      <c r="C173" s="41" t="s">
        <v>185</v>
      </c>
      <c r="D173" s="41">
        <v>6</v>
      </c>
      <c r="E173" s="42">
        <v>6</v>
      </c>
      <c r="F173" s="42">
        <v>36</v>
      </c>
      <c r="G173" s="43">
        <v>1.6945</v>
      </c>
      <c r="H173" s="44">
        <f t="shared" si="12"/>
        <v>61.002</v>
      </c>
      <c r="I173" s="45">
        <v>0.018</v>
      </c>
      <c r="J173" s="46">
        <f t="shared" si="13"/>
        <v>0.868654753068015</v>
      </c>
      <c r="K173" s="46">
        <f t="shared" si="14"/>
        <v>0.01281042</v>
      </c>
      <c r="L173" s="46">
        <f t="shared" si="15"/>
        <v>2.2020084988186</v>
      </c>
      <c r="M173" s="47">
        <f t="shared" si="16"/>
        <v>64.0854736718866</v>
      </c>
      <c r="N173" s="46">
        <f t="shared" si="17"/>
        <v>1.78015204644129</v>
      </c>
      <c r="O173" s="48"/>
      <c r="P173" s="48"/>
      <c r="Q173" s="48"/>
      <c r="R173" s="48"/>
    </row>
    <row r="174" s="4" customFormat="1" ht="26.1" customHeight="1" spans="1:18">
      <c r="A174" s="40">
        <v>169</v>
      </c>
      <c r="B174" s="41">
        <v>6001131</v>
      </c>
      <c r="C174" s="41" t="s">
        <v>186</v>
      </c>
      <c r="D174" s="41">
        <v>8</v>
      </c>
      <c r="E174" s="42">
        <v>12</v>
      </c>
      <c r="F174" s="42">
        <v>96</v>
      </c>
      <c r="G174" s="43">
        <v>0.9452</v>
      </c>
      <c r="H174" s="44">
        <f t="shared" si="12"/>
        <v>90.7392</v>
      </c>
      <c r="I174" s="45">
        <v>0.0136</v>
      </c>
      <c r="J174" s="46">
        <f t="shared" si="13"/>
        <v>0.656316924540278</v>
      </c>
      <c r="K174" s="46">
        <f t="shared" si="14"/>
        <v>0.019055232</v>
      </c>
      <c r="L174" s="46">
        <f t="shared" si="15"/>
        <v>3.27544161791417</v>
      </c>
      <c r="M174" s="47">
        <f t="shared" si="16"/>
        <v>94.6900137744544</v>
      </c>
      <c r="N174" s="46">
        <f t="shared" si="17"/>
        <v>0.986354310150567</v>
      </c>
      <c r="O174" s="48"/>
      <c r="P174" s="48"/>
      <c r="Q174" s="48"/>
      <c r="R174" s="48"/>
    </row>
    <row r="175" s="4" customFormat="1" ht="26.1" customHeight="1" spans="1:18">
      <c r="A175" s="40">
        <v>170</v>
      </c>
      <c r="B175" s="41">
        <v>6001149</v>
      </c>
      <c r="C175" s="41" t="s">
        <v>187</v>
      </c>
      <c r="D175" s="41">
        <v>2</v>
      </c>
      <c r="E175" s="42">
        <v>144</v>
      </c>
      <c r="F175" s="42">
        <v>288</v>
      </c>
      <c r="G175" s="43">
        <v>0.2795</v>
      </c>
      <c r="H175" s="44">
        <f t="shared" si="12"/>
        <v>80.496</v>
      </c>
      <c r="I175" s="45">
        <v>0.069988</v>
      </c>
      <c r="J175" s="46">
        <f t="shared" si="13"/>
        <v>3.37752271431801</v>
      </c>
      <c r="K175" s="46">
        <f t="shared" si="14"/>
        <v>0.01690416</v>
      </c>
      <c r="L175" s="46">
        <f t="shared" si="15"/>
        <v>2.90568958593</v>
      </c>
      <c r="M175" s="47">
        <f t="shared" si="16"/>
        <v>86.796116460248</v>
      </c>
      <c r="N175" s="46">
        <f t="shared" si="17"/>
        <v>0.301375404375861</v>
      </c>
      <c r="O175" s="48"/>
      <c r="P175" s="48"/>
      <c r="Q175" s="48"/>
      <c r="R175" s="48"/>
    </row>
    <row r="176" s="4" customFormat="1" ht="26.1" customHeight="1" spans="1:18">
      <c r="A176" s="40">
        <v>171</v>
      </c>
      <c r="B176" s="41">
        <v>6001155</v>
      </c>
      <c r="C176" s="41" t="s">
        <v>188</v>
      </c>
      <c r="D176" s="41">
        <v>1</v>
      </c>
      <c r="E176" s="42">
        <v>144</v>
      </c>
      <c r="F176" s="42">
        <v>144</v>
      </c>
      <c r="G176" s="43">
        <v>0.2046</v>
      </c>
      <c r="H176" s="44">
        <f t="shared" si="12"/>
        <v>29.4624</v>
      </c>
      <c r="I176" s="45">
        <v>0.047006</v>
      </c>
      <c r="J176" s="46">
        <f t="shared" si="13"/>
        <v>2.26844362903973</v>
      </c>
      <c r="K176" s="46">
        <f t="shared" si="14"/>
        <v>0.006187104</v>
      </c>
      <c r="L176" s="46">
        <f t="shared" si="15"/>
        <v>1.0635135765318</v>
      </c>
      <c r="M176" s="47">
        <f t="shared" si="16"/>
        <v>32.8005443095715</v>
      </c>
      <c r="N176" s="46">
        <f t="shared" si="17"/>
        <v>0.227781557705358</v>
      </c>
      <c r="O176" s="48"/>
      <c r="P176" s="48"/>
      <c r="Q176" s="48"/>
      <c r="R176" s="48"/>
    </row>
    <row r="177" s="4" customFormat="1" ht="26.1" customHeight="1" spans="1:18">
      <c r="A177" s="40">
        <v>172</v>
      </c>
      <c r="B177" s="41">
        <v>6001161</v>
      </c>
      <c r="C177" s="41" t="s">
        <v>189</v>
      </c>
      <c r="D177" s="41">
        <v>2</v>
      </c>
      <c r="E177" s="42">
        <v>48</v>
      </c>
      <c r="F177" s="42">
        <v>96</v>
      </c>
      <c r="G177" s="43">
        <v>0.9539</v>
      </c>
      <c r="H177" s="44">
        <f t="shared" si="12"/>
        <v>91.5744</v>
      </c>
      <c r="I177" s="45">
        <v>0.022656</v>
      </c>
      <c r="J177" s="46">
        <f t="shared" si="13"/>
        <v>1.09334678252828</v>
      </c>
      <c r="K177" s="46">
        <f t="shared" si="14"/>
        <v>0.019230624</v>
      </c>
      <c r="L177" s="46">
        <f t="shared" si="15"/>
        <v>3.30559009662328</v>
      </c>
      <c r="M177" s="47">
        <f t="shared" si="16"/>
        <v>95.9925675031515</v>
      </c>
      <c r="N177" s="46">
        <f t="shared" si="17"/>
        <v>0.999922578157829</v>
      </c>
      <c r="O177" s="48"/>
      <c r="P177" s="48"/>
      <c r="Q177" s="48"/>
      <c r="R177" s="48"/>
    </row>
    <row r="178" s="4" customFormat="1" ht="26.1" customHeight="1" spans="1:18">
      <c r="A178" s="40">
        <v>173</v>
      </c>
      <c r="B178" s="41">
        <v>6001163</v>
      </c>
      <c r="C178" s="41" t="s">
        <v>190</v>
      </c>
      <c r="D178" s="41">
        <v>48</v>
      </c>
      <c r="E178" s="42">
        <v>12</v>
      </c>
      <c r="F178" s="42">
        <v>576</v>
      </c>
      <c r="G178" s="43">
        <v>0.3934</v>
      </c>
      <c r="H178" s="44">
        <f t="shared" si="12"/>
        <v>226.5984</v>
      </c>
      <c r="I178" s="45">
        <v>0.30864</v>
      </c>
      <c r="J178" s="46">
        <f t="shared" si="13"/>
        <v>14.8945334992729</v>
      </c>
      <c r="K178" s="46">
        <f t="shared" si="14"/>
        <v>0.047585664</v>
      </c>
      <c r="L178" s="46">
        <f t="shared" si="15"/>
        <v>8.1795941545965</v>
      </c>
      <c r="M178" s="47">
        <f t="shared" si="16"/>
        <v>249.720113317869</v>
      </c>
      <c r="N178" s="46">
        <f t="shared" si="17"/>
        <v>0.433541863399079</v>
      </c>
      <c r="O178" s="48"/>
      <c r="P178" s="48"/>
      <c r="Q178" s="48"/>
      <c r="R178" s="48"/>
    </row>
    <row r="179" s="4" customFormat="1" ht="26.1" customHeight="1" spans="1:18">
      <c r="A179" s="40">
        <v>174</v>
      </c>
      <c r="B179" s="41">
        <v>6001165</v>
      </c>
      <c r="C179" s="41" t="s">
        <v>191</v>
      </c>
      <c r="D179" s="41">
        <v>1</v>
      </c>
      <c r="E179" s="42">
        <v>72</v>
      </c>
      <c r="F179" s="42">
        <v>72</v>
      </c>
      <c r="G179" s="43">
        <v>0.745</v>
      </c>
      <c r="H179" s="44">
        <f t="shared" si="12"/>
        <v>53.64</v>
      </c>
      <c r="I179" s="45">
        <v>0.08061</v>
      </c>
      <c r="J179" s="46">
        <f t="shared" si="13"/>
        <v>3.89012553582293</v>
      </c>
      <c r="K179" s="46">
        <f t="shared" si="14"/>
        <v>0.0112644</v>
      </c>
      <c r="L179" s="46">
        <f t="shared" si="15"/>
        <v>1.93626005502491</v>
      </c>
      <c r="M179" s="47">
        <f t="shared" si="16"/>
        <v>59.4776499908478</v>
      </c>
      <c r="N179" s="46">
        <f t="shared" si="17"/>
        <v>0.826078472095109</v>
      </c>
      <c r="O179" s="48"/>
      <c r="P179" s="48"/>
      <c r="Q179" s="48"/>
      <c r="R179" s="48"/>
    </row>
    <row r="180" s="4" customFormat="1" ht="26.1" customHeight="1" spans="1:18">
      <c r="A180" s="40">
        <v>175</v>
      </c>
      <c r="B180" s="41">
        <v>6001177</v>
      </c>
      <c r="C180" s="41" t="s">
        <v>192</v>
      </c>
      <c r="D180" s="41">
        <v>2</v>
      </c>
      <c r="E180" s="42">
        <v>48</v>
      </c>
      <c r="F180" s="42">
        <v>96</v>
      </c>
      <c r="G180" s="43">
        <v>1.1801</v>
      </c>
      <c r="H180" s="44">
        <f t="shared" si="12"/>
        <v>113.2896</v>
      </c>
      <c r="I180" s="45">
        <v>0.057456</v>
      </c>
      <c r="J180" s="46">
        <f t="shared" si="13"/>
        <v>2.7727459717931</v>
      </c>
      <c r="K180" s="46">
        <f t="shared" si="14"/>
        <v>0.023790816</v>
      </c>
      <c r="L180" s="46">
        <f t="shared" si="15"/>
        <v>4.08945054306021</v>
      </c>
      <c r="M180" s="47">
        <f t="shared" si="16"/>
        <v>120.175587330853</v>
      </c>
      <c r="N180" s="46">
        <f t="shared" si="17"/>
        <v>1.25182903469639</v>
      </c>
      <c r="O180" s="48"/>
      <c r="P180" s="48"/>
      <c r="Q180" s="48"/>
      <c r="R180" s="48"/>
    </row>
    <row r="181" s="4" customFormat="1" ht="26.1" customHeight="1" spans="1:18">
      <c r="A181" s="40">
        <v>176</v>
      </c>
      <c r="B181" s="41">
        <v>6001179</v>
      </c>
      <c r="C181" s="41" t="s">
        <v>193</v>
      </c>
      <c r="D181" s="41">
        <v>1</v>
      </c>
      <c r="E181" s="42">
        <v>24</v>
      </c>
      <c r="F181" s="42">
        <v>24</v>
      </c>
      <c r="G181" s="43">
        <v>2.3905</v>
      </c>
      <c r="H181" s="44">
        <f t="shared" si="12"/>
        <v>57.372</v>
      </c>
      <c r="I181" s="45">
        <v>0.026153</v>
      </c>
      <c r="J181" s="46">
        <f t="shared" si="13"/>
        <v>1.26210709761043</v>
      </c>
      <c r="K181" s="46">
        <f t="shared" si="14"/>
        <v>0.01204812</v>
      </c>
      <c r="L181" s="46">
        <f t="shared" si="15"/>
        <v>2.07097524006132</v>
      </c>
      <c r="M181" s="47">
        <f t="shared" si="16"/>
        <v>60.7171304576718</v>
      </c>
      <c r="N181" s="46">
        <f t="shared" si="17"/>
        <v>2.52988043573632</v>
      </c>
      <c r="O181" s="48"/>
      <c r="P181" s="48"/>
      <c r="Q181" s="48"/>
      <c r="R181" s="48"/>
    </row>
    <row r="182" s="4" customFormat="1" ht="26.1" customHeight="1" spans="1:18">
      <c r="A182" s="40">
        <v>177</v>
      </c>
      <c r="B182" s="41">
        <v>6001194</v>
      </c>
      <c r="C182" s="41" t="s">
        <v>194</v>
      </c>
      <c r="D182" s="41">
        <v>2</v>
      </c>
      <c r="E182" s="42">
        <v>48</v>
      </c>
      <c r="F182" s="42">
        <v>96</v>
      </c>
      <c r="G182" s="43">
        <v>1.3012</v>
      </c>
      <c r="H182" s="44">
        <f t="shared" si="12"/>
        <v>124.9152</v>
      </c>
      <c r="I182" s="45">
        <v>0.024958</v>
      </c>
      <c r="J182" s="46">
        <f t="shared" si="13"/>
        <v>1.2044380737262</v>
      </c>
      <c r="K182" s="46">
        <f t="shared" si="14"/>
        <v>0.026232192</v>
      </c>
      <c r="L182" s="46">
        <f t="shared" si="15"/>
        <v>4.50910350532154</v>
      </c>
      <c r="M182" s="47">
        <f t="shared" si="16"/>
        <v>130.654973771048</v>
      </c>
      <c r="N182" s="46">
        <f t="shared" si="17"/>
        <v>1.36098931011508</v>
      </c>
      <c r="O182" s="48"/>
      <c r="P182" s="48"/>
      <c r="Q182" s="48"/>
      <c r="R182" s="48"/>
    </row>
    <row r="183" s="4" customFormat="1" ht="26.1" customHeight="1" spans="1:18">
      <c r="A183" s="40">
        <v>178</v>
      </c>
      <c r="B183" s="41">
        <v>6001198</v>
      </c>
      <c r="C183" s="41" t="s">
        <v>195</v>
      </c>
      <c r="D183" s="41">
        <v>1</v>
      </c>
      <c r="E183" s="42">
        <v>20</v>
      </c>
      <c r="F183" s="42">
        <v>20</v>
      </c>
      <c r="G183" s="43">
        <v>3.0259</v>
      </c>
      <c r="H183" s="44">
        <f t="shared" si="12"/>
        <v>60.518</v>
      </c>
      <c r="I183" s="45">
        <v>0.017784</v>
      </c>
      <c r="J183" s="46">
        <f t="shared" si="13"/>
        <v>0.858230896031199</v>
      </c>
      <c r="K183" s="46">
        <f t="shared" si="14"/>
        <v>0.01270878</v>
      </c>
      <c r="L183" s="46">
        <f t="shared" si="15"/>
        <v>2.18453739765096</v>
      </c>
      <c r="M183" s="47">
        <f t="shared" si="16"/>
        <v>63.5734770736822</v>
      </c>
      <c r="N183" s="46">
        <f t="shared" si="17"/>
        <v>3.17867385368411</v>
      </c>
      <c r="O183" s="48"/>
      <c r="P183" s="48"/>
      <c r="Q183" s="48"/>
      <c r="R183" s="48"/>
    </row>
    <row r="184" s="4" customFormat="1" ht="26.1" customHeight="1" spans="1:18">
      <c r="A184" s="40">
        <v>179</v>
      </c>
      <c r="B184" s="41">
        <v>6001206</v>
      </c>
      <c r="C184" s="41" t="s">
        <v>196</v>
      </c>
      <c r="D184" s="41">
        <v>6</v>
      </c>
      <c r="E184" s="42">
        <v>48</v>
      </c>
      <c r="F184" s="42">
        <v>288</v>
      </c>
      <c r="G184" s="43">
        <v>0.7334</v>
      </c>
      <c r="H184" s="44">
        <f t="shared" si="12"/>
        <v>211.2192</v>
      </c>
      <c r="I184" s="45">
        <v>0.33201</v>
      </c>
      <c r="J184" s="46">
        <f t="shared" si="13"/>
        <v>16.0223369203395</v>
      </c>
      <c r="K184" s="46">
        <f t="shared" si="14"/>
        <v>0.044356032</v>
      </c>
      <c r="L184" s="46">
        <f t="shared" si="15"/>
        <v>7.62444630526318</v>
      </c>
      <c r="M184" s="47">
        <f t="shared" si="16"/>
        <v>234.910339257603</v>
      </c>
      <c r="N184" s="46">
        <f t="shared" si="17"/>
        <v>0.815660900200009</v>
      </c>
      <c r="O184" s="48"/>
      <c r="P184" s="48"/>
      <c r="Q184" s="48"/>
      <c r="R184" s="48"/>
    </row>
    <row r="185" s="4" customFormat="1" ht="26.1" customHeight="1" spans="1:18">
      <c r="A185" s="40">
        <v>180</v>
      </c>
      <c r="B185" s="41">
        <v>6001207</v>
      </c>
      <c r="C185" s="41" t="s">
        <v>197</v>
      </c>
      <c r="D185" s="41">
        <v>5</v>
      </c>
      <c r="E185" s="42">
        <v>48</v>
      </c>
      <c r="F185" s="42">
        <v>240</v>
      </c>
      <c r="G185" s="43">
        <v>0.8069</v>
      </c>
      <c r="H185" s="44">
        <f t="shared" si="12"/>
        <v>193.656</v>
      </c>
      <c r="I185" s="45">
        <v>0.276675</v>
      </c>
      <c r="J185" s="46">
        <f t="shared" si="13"/>
        <v>13.3519474336163</v>
      </c>
      <c r="K185" s="46">
        <f t="shared" si="14"/>
        <v>0.04066776</v>
      </c>
      <c r="L185" s="46">
        <f t="shared" si="15"/>
        <v>6.99046191677673</v>
      </c>
      <c r="M185" s="47">
        <f t="shared" si="16"/>
        <v>214.039077110393</v>
      </c>
      <c r="N185" s="46">
        <f t="shared" si="17"/>
        <v>0.891829487959971</v>
      </c>
      <c r="O185" s="48"/>
      <c r="P185" s="48"/>
      <c r="Q185" s="48"/>
      <c r="R185" s="48"/>
    </row>
    <row r="186" s="4" customFormat="1" ht="26.1" customHeight="1" spans="1:18">
      <c r="A186" s="40">
        <v>181</v>
      </c>
      <c r="B186" s="41">
        <v>6001211</v>
      </c>
      <c r="C186" s="41" t="s">
        <v>198</v>
      </c>
      <c r="D186" s="41">
        <v>9</v>
      </c>
      <c r="E186" s="42">
        <v>16</v>
      </c>
      <c r="F186" s="42">
        <v>144</v>
      </c>
      <c r="G186" s="43">
        <v>0.8703</v>
      </c>
      <c r="H186" s="44">
        <f t="shared" si="12"/>
        <v>125.3232</v>
      </c>
      <c r="I186" s="45">
        <v>0.26937</v>
      </c>
      <c r="J186" s="46">
        <f t="shared" si="13"/>
        <v>12.9994183796628</v>
      </c>
      <c r="K186" s="46">
        <f t="shared" si="14"/>
        <v>0.026317872</v>
      </c>
      <c r="L186" s="46">
        <f t="shared" si="15"/>
        <v>4.52383121043806</v>
      </c>
      <c r="M186" s="47">
        <f t="shared" si="16"/>
        <v>142.872767462101</v>
      </c>
      <c r="N186" s="46">
        <f t="shared" si="17"/>
        <v>0.99217199626459</v>
      </c>
      <c r="O186" s="48"/>
      <c r="P186" s="48"/>
      <c r="Q186" s="48"/>
      <c r="R186" s="48"/>
    </row>
    <row r="187" s="4" customFormat="1" ht="26.1" customHeight="1" spans="1:18">
      <c r="A187" s="40">
        <v>182</v>
      </c>
      <c r="B187" s="41">
        <v>6001216</v>
      </c>
      <c r="C187" s="41" t="s">
        <v>199</v>
      </c>
      <c r="D187" s="41">
        <v>4</v>
      </c>
      <c r="E187" s="42">
        <v>36</v>
      </c>
      <c r="F187" s="42">
        <v>144</v>
      </c>
      <c r="G187" s="43">
        <v>0.7637</v>
      </c>
      <c r="H187" s="44">
        <f t="shared" si="12"/>
        <v>109.9728</v>
      </c>
      <c r="I187" s="45">
        <v>0.163744</v>
      </c>
      <c r="J187" s="46">
        <f t="shared" si="13"/>
        <v>7.90205577146495</v>
      </c>
      <c r="K187" s="46">
        <f t="shared" si="14"/>
        <v>0.023094288</v>
      </c>
      <c r="L187" s="46">
        <f t="shared" si="15"/>
        <v>3.96972296381885</v>
      </c>
      <c r="M187" s="47">
        <f t="shared" si="16"/>
        <v>121.867673023284</v>
      </c>
      <c r="N187" s="46">
        <f t="shared" si="17"/>
        <v>0.846303284883915</v>
      </c>
      <c r="O187" s="48"/>
      <c r="P187" s="48"/>
      <c r="Q187" s="48"/>
      <c r="R187" s="48"/>
    </row>
    <row r="188" s="4" customFormat="1" ht="26.1" customHeight="1" spans="1:18">
      <c r="A188" s="40">
        <v>183</v>
      </c>
      <c r="B188" s="41">
        <v>6001222</v>
      </c>
      <c r="C188" s="41" t="s">
        <v>200</v>
      </c>
      <c r="D188" s="41">
        <v>1</v>
      </c>
      <c r="E188" s="42">
        <v>24</v>
      </c>
      <c r="F188" s="42">
        <v>24</v>
      </c>
      <c r="G188" s="43">
        <v>0.7334</v>
      </c>
      <c r="H188" s="44">
        <f t="shared" si="12"/>
        <v>17.6016</v>
      </c>
      <c r="I188" s="45">
        <v>0.033524</v>
      </c>
      <c r="J188" s="46">
        <f t="shared" si="13"/>
        <v>1.61782121899179</v>
      </c>
      <c r="K188" s="46">
        <f t="shared" si="14"/>
        <v>0.003696336</v>
      </c>
      <c r="L188" s="46">
        <f t="shared" si="15"/>
        <v>0.635370525438599</v>
      </c>
      <c r="M188" s="47">
        <f t="shared" si="16"/>
        <v>19.8584880804304</v>
      </c>
      <c r="N188" s="46">
        <f t="shared" si="17"/>
        <v>0.827437003351266</v>
      </c>
      <c r="O188" s="48"/>
      <c r="P188" s="48"/>
      <c r="Q188" s="48"/>
      <c r="R188" s="48"/>
    </row>
    <row r="189" s="4" customFormat="1" ht="26.1" customHeight="1" spans="1:18">
      <c r="A189" s="40">
        <v>184</v>
      </c>
      <c r="B189" s="41">
        <v>9067884</v>
      </c>
      <c r="C189" s="41" t="s">
        <v>201</v>
      </c>
      <c r="D189" s="41">
        <v>2</v>
      </c>
      <c r="E189" s="42">
        <v>100</v>
      </c>
      <c r="F189" s="42">
        <v>200</v>
      </c>
      <c r="G189" s="43">
        <v>0.1153</v>
      </c>
      <c r="H189" s="44">
        <f t="shared" si="12"/>
        <v>23.06</v>
      </c>
      <c r="I189" s="45">
        <v>0.09802</v>
      </c>
      <c r="J189" s="46">
        <f t="shared" si="13"/>
        <v>4.73030771642927</v>
      </c>
      <c r="K189" s="46">
        <f t="shared" si="14"/>
        <v>0.0048426</v>
      </c>
      <c r="L189" s="46">
        <f t="shared" si="15"/>
        <v>0.832404117615108</v>
      </c>
      <c r="M189" s="47">
        <f t="shared" si="16"/>
        <v>28.6275544340444</v>
      </c>
      <c r="N189" s="46">
        <f t="shared" si="17"/>
        <v>0.143137772170222</v>
      </c>
      <c r="O189" s="48"/>
      <c r="P189" s="48"/>
      <c r="Q189" s="48"/>
      <c r="R189" s="48"/>
    </row>
    <row r="190" s="4" customFormat="1" ht="26.1" customHeight="1" spans="1:18">
      <c r="A190" s="40">
        <v>185</v>
      </c>
      <c r="B190" s="41">
        <v>8963146</v>
      </c>
      <c r="C190" s="41" t="s">
        <v>202</v>
      </c>
      <c r="D190" s="41">
        <v>2</v>
      </c>
      <c r="E190" s="42">
        <v>1440</v>
      </c>
      <c r="F190" s="42">
        <v>2880</v>
      </c>
      <c r="G190" s="43">
        <v>0.1225</v>
      </c>
      <c r="H190" s="44">
        <f t="shared" si="12"/>
        <v>352.8</v>
      </c>
      <c r="I190" s="45">
        <v>0.4232</v>
      </c>
      <c r="J190" s="46">
        <f t="shared" si="13"/>
        <v>20.4230384165769</v>
      </c>
      <c r="K190" s="46">
        <f t="shared" si="14"/>
        <v>0.074088</v>
      </c>
      <c r="L190" s="46">
        <f t="shared" si="15"/>
        <v>12.7351332478148</v>
      </c>
      <c r="M190" s="47">
        <f t="shared" si="16"/>
        <v>386.032259664392</v>
      </c>
      <c r="N190" s="46">
        <f t="shared" si="17"/>
        <v>0.134038979050136</v>
      </c>
      <c r="O190" s="48"/>
      <c r="P190" s="48"/>
      <c r="Q190" s="48"/>
      <c r="R190" s="48"/>
    </row>
    <row r="191" s="4" customFormat="1" ht="26.1" customHeight="1" spans="1:18">
      <c r="A191" s="40">
        <v>186</v>
      </c>
      <c r="B191" s="41">
        <v>8963147</v>
      </c>
      <c r="C191" s="41" t="s">
        <v>203</v>
      </c>
      <c r="D191" s="41">
        <v>2</v>
      </c>
      <c r="E191" s="42">
        <v>1440</v>
      </c>
      <c r="F191" s="42">
        <v>2880</v>
      </c>
      <c r="G191" s="43">
        <v>0.1225</v>
      </c>
      <c r="H191" s="44">
        <f t="shared" si="12"/>
        <v>352.8</v>
      </c>
      <c r="I191" s="45">
        <v>0.4232</v>
      </c>
      <c r="J191" s="46">
        <f t="shared" si="13"/>
        <v>20.4230384165769</v>
      </c>
      <c r="K191" s="46">
        <f t="shared" si="14"/>
        <v>0.074088</v>
      </c>
      <c r="L191" s="46">
        <f t="shared" si="15"/>
        <v>12.7351332478148</v>
      </c>
      <c r="M191" s="47">
        <f t="shared" si="16"/>
        <v>386.032259664392</v>
      </c>
      <c r="N191" s="46">
        <f t="shared" si="17"/>
        <v>0.134038979050136</v>
      </c>
      <c r="O191" s="48"/>
      <c r="P191" s="48"/>
      <c r="Q191" s="48"/>
      <c r="R191" s="48"/>
    </row>
    <row r="192" s="4" customFormat="1" ht="26.1" customHeight="1" spans="1:18">
      <c r="A192" s="40">
        <v>187</v>
      </c>
      <c r="B192" s="41">
        <v>8963148</v>
      </c>
      <c r="C192" s="41" t="s">
        <v>204</v>
      </c>
      <c r="D192" s="41">
        <v>2</v>
      </c>
      <c r="E192" s="42">
        <v>1440</v>
      </c>
      <c r="F192" s="42">
        <v>2880</v>
      </c>
      <c r="G192" s="43">
        <v>0.1225</v>
      </c>
      <c r="H192" s="44">
        <f t="shared" si="12"/>
        <v>352.8</v>
      </c>
      <c r="I192" s="45">
        <v>0.4232</v>
      </c>
      <c r="J192" s="46">
        <f t="shared" si="13"/>
        <v>20.4230384165769</v>
      </c>
      <c r="K192" s="46">
        <f t="shared" si="14"/>
        <v>0.074088</v>
      </c>
      <c r="L192" s="46">
        <f t="shared" si="15"/>
        <v>12.7351332478148</v>
      </c>
      <c r="M192" s="47">
        <f t="shared" si="16"/>
        <v>386.032259664392</v>
      </c>
      <c r="N192" s="46">
        <f t="shared" si="17"/>
        <v>0.134038979050136</v>
      </c>
      <c r="O192" s="48"/>
      <c r="P192" s="48"/>
      <c r="Q192" s="48"/>
      <c r="R192" s="48"/>
    </row>
    <row r="193" s="4" customFormat="1" ht="26.1" customHeight="1" spans="1:18">
      <c r="A193" s="40">
        <v>188</v>
      </c>
      <c r="B193" s="41">
        <v>8963149</v>
      </c>
      <c r="C193" s="41" t="s">
        <v>205</v>
      </c>
      <c r="D193" s="41">
        <v>2</v>
      </c>
      <c r="E193" s="42">
        <v>1440</v>
      </c>
      <c r="F193" s="42">
        <v>2880</v>
      </c>
      <c r="G193" s="43">
        <v>0.1225</v>
      </c>
      <c r="H193" s="44">
        <f t="shared" si="12"/>
        <v>352.8</v>
      </c>
      <c r="I193" s="45">
        <v>0.4232</v>
      </c>
      <c r="J193" s="46">
        <f t="shared" si="13"/>
        <v>20.4230384165769</v>
      </c>
      <c r="K193" s="46">
        <f t="shared" si="14"/>
        <v>0.074088</v>
      </c>
      <c r="L193" s="46">
        <f t="shared" si="15"/>
        <v>12.7351332478148</v>
      </c>
      <c r="M193" s="47">
        <f t="shared" si="16"/>
        <v>386.032259664392</v>
      </c>
      <c r="N193" s="46">
        <f t="shared" si="17"/>
        <v>0.134038979050136</v>
      </c>
      <c r="O193" s="48"/>
      <c r="P193" s="48"/>
      <c r="Q193" s="48"/>
      <c r="R193" s="48"/>
    </row>
    <row r="194" s="4" customFormat="1" ht="26.1" customHeight="1" spans="1:18">
      <c r="A194" s="40">
        <v>189</v>
      </c>
      <c r="B194" s="41">
        <v>8963150</v>
      </c>
      <c r="C194" s="41" t="s">
        <v>206</v>
      </c>
      <c r="D194" s="41">
        <v>2</v>
      </c>
      <c r="E194" s="42">
        <v>864</v>
      </c>
      <c r="F194" s="42">
        <v>1728</v>
      </c>
      <c r="G194" s="43">
        <v>0.1945</v>
      </c>
      <c r="H194" s="44">
        <f t="shared" si="12"/>
        <v>336.096</v>
      </c>
      <c r="I194" s="45">
        <v>0.33566</v>
      </c>
      <c r="J194" s="46">
        <f t="shared" si="13"/>
        <v>16.1984808008228</v>
      </c>
      <c r="K194" s="46">
        <f t="shared" si="14"/>
        <v>0.07058016</v>
      </c>
      <c r="L194" s="46">
        <f t="shared" si="15"/>
        <v>12.1321636736326</v>
      </c>
      <c r="M194" s="47">
        <f t="shared" si="16"/>
        <v>364.497224634455</v>
      </c>
      <c r="N194" s="46">
        <f t="shared" si="17"/>
        <v>0.21093589388568</v>
      </c>
      <c r="O194" s="48"/>
      <c r="P194" s="48"/>
      <c r="Q194" s="48"/>
      <c r="R194" s="48"/>
    </row>
    <row r="195" s="4" customFormat="1" ht="26.1" customHeight="1" spans="1:18">
      <c r="A195" s="40">
        <v>190</v>
      </c>
      <c r="B195" s="41">
        <v>8963151</v>
      </c>
      <c r="C195" s="41" t="s">
        <v>207</v>
      </c>
      <c r="D195" s="41">
        <v>2</v>
      </c>
      <c r="E195" s="42">
        <v>648</v>
      </c>
      <c r="F195" s="42">
        <v>1296</v>
      </c>
      <c r="G195" s="43">
        <v>0.1945</v>
      </c>
      <c r="H195" s="44">
        <f t="shared" si="12"/>
        <v>252.072</v>
      </c>
      <c r="I195" s="45">
        <v>0.30452</v>
      </c>
      <c r="J195" s="46">
        <f t="shared" si="13"/>
        <v>14.6957080780151</v>
      </c>
      <c r="K195" s="46">
        <f t="shared" si="14"/>
        <v>0.05293512</v>
      </c>
      <c r="L195" s="46">
        <f t="shared" si="15"/>
        <v>9.09912275522444</v>
      </c>
      <c r="M195" s="47">
        <f t="shared" si="16"/>
        <v>275.91976595324</v>
      </c>
      <c r="N195" s="46">
        <f t="shared" si="17"/>
        <v>0.212901053976265</v>
      </c>
      <c r="O195" s="48"/>
      <c r="P195" s="48"/>
      <c r="Q195" s="48"/>
      <c r="R195" s="48"/>
    </row>
    <row r="196" s="4" customFormat="1" ht="26.1" customHeight="1" spans="1:18">
      <c r="A196" s="40">
        <v>191</v>
      </c>
      <c r="B196" s="41">
        <v>8963152</v>
      </c>
      <c r="C196" s="41" t="s">
        <v>208</v>
      </c>
      <c r="D196" s="41">
        <v>2</v>
      </c>
      <c r="E196" s="42">
        <v>576</v>
      </c>
      <c r="F196" s="42">
        <v>1152</v>
      </c>
      <c r="G196" s="43">
        <v>0.3098</v>
      </c>
      <c r="H196" s="44">
        <f t="shared" si="12"/>
        <v>356.8896</v>
      </c>
      <c r="I196" s="45">
        <v>0.27136</v>
      </c>
      <c r="J196" s="46">
        <f t="shared" si="13"/>
        <v>13.0954529884743</v>
      </c>
      <c r="K196" s="46">
        <f t="shared" si="14"/>
        <v>0.074946816</v>
      </c>
      <c r="L196" s="46">
        <f t="shared" si="15"/>
        <v>12.8827568332181</v>
      </c>
      <c r="M196" s="47">
        <f t="shared" si="16"/>
        <v>382.942756637692</v>
      </c>
      <c r="N196" s="46">
        <f t="shared" si="17"/>
        <v>0.332415587359108</v>
      </c>
      <c r="O196" s="48"/>
      <c r="P196" s="48"/>
      <c r="Q196" s="48"/>
      <c r="R196" s="48"/>
    </row>
    <row r="197" s="4" customFormat="1" ht="26.1" customHeight="1" spans="1:18">
      <c r="A197" s="40">
        <v>192</v>
      </c>
      <c r="B197" s="41">
        <v>8963153</v>
      </c>
      <c r="C197" s="41" t="s">
        <v>209</v>
      </c>
      <c r="D197" s="41">
        <v>2</v>
      </c>
      <c r="E197" s="42">
        <v>576</v>
      </c>
      <c r="F197" s="42">
        <v>1152</v>
      </c>
      <c r="G197" s="43">
        <v>0.317</v>
      </c>
      <c r="H197" s="44">
        <f t="shared" si="12"/>
        <v>365.184</v>
      </c>
      <c r="I197" s="45">
        <v>0.1696</v>
      </c>
      <c r="J197" s="46">
        <f t="shared" si="13"/>
        <v>8.18465811779641</v>
      </c>
      <c r="K197" s="46">
        <f t="shared" si="14"/>
        <v>0.07668864</v>
      </c>
      <c r="L197" s="46">
        <f t="shared" si="15"/>
        <v>13.182162414881</v>
      </c>
      <c r="M197" s="47">
        <f t="shared" si="16"/>
        <v>386.627509172677</v>
      </c>
      <c r="N197" s="46">
        <f t="shared" si="17"/>
        <v>0.335614157267949</v>
      </c>
      <c r="O197" s="48"/>
      <c r="P197" s="48"/>
      <c r="Q197" s="48"/>
      <c r="R197" s="48"/>
    </row>
    <row r="198" s="4" customFormat="1" ht="26.1" customHeight="1" spans="1:18">
      <c r="A198" s="40">
        <v>193</v>
      </c>
      <c r="B198" s="41">
        <v>8962339</v>
      </c>
      <c r="C198" s="41" t="s">
        <v>210</v>
      </c>
      <c r="D198" s="41">
        <v>2</v>
      </c>
      <c r="E198" s="42">
        <v>600</v>
      </c>
      <c r="F198" s="42">
        <v>1200</v>
      </c>
      <c r="G198" s="43">
        <v>0.2161</v>
      </c>
      <c r="H198" s="44">
        <f t="shared" si="12"/>
        <v>259.32</v>
      </c>
      <c r="I198" s="45">
        <v>0.33</v>
      </c>
      <c r="J198" s="46">
        <f t="shared" si="13"/>
        <v>15.9253371395803</v>
      </c>
      <c r="K198" s="46">
        <f t="shared" si="14"/>
        <v>0.0544572</v>
      </c>
      <c r="L198" s="46">
        <f t="shared" si="15"/>
        <v>9.36075610494145</v>
      </c>
      <c r="M198" s="47">
        <f t="shared" si="16"/>
        <v>284.660550444522</v>
      </c>
      <c r="N198" s="46">
        <f t="shared" si="17"/>
        <v>0.237217125370435</v>
      </c>
      <c r="O198" s="48"/>
      <c r="P198" s="48"/>
      <c r="Q198" s="48"/>
      <c r="R198" s="48"/>
    </row>
    <row r="199" s="4" customFormat="1" ht="26.1" customHeight="1" spans="1:18">
      <c r="A199" s="40">
        <v>194</v>
      </c>
      <c r="B199" s="41">
        <v>8955148</v>
      </c>
      <c r="C199" s="41" t="s">
        <v>211</v>
      </c>
      <c r="D199" s="41">
        <v>1</v>
      </c>
      <c r="E199" s="42">
        <v>60</v>
      </c>
      <c r="F199" s="42">
        <v>60</v>
      </c>
      <c r="G199" s="43">
        <v>1.513</v>
      </c>
      <c r="H199" s="44">
        <f t="shared" ref="H199:H262" si="18">G199*F199</f>
        <v>90.78</v>
      </c>
      <c r="I199" s="45">
        <v>0.03516</v>
      </c>
      <c r="J199" s="46">
        <f t="shared" ref="J199:J262" si="19">I199/$I$5*$J$5</f>
        <v>1.69677228432619</v>
      </c>
      <c r="K199" s="46">
        <f t="shared" ref="K199:K262" si="20">H199/$H$5*$K$5</f>
        <v>0.0190638</v>
      </c>
      <c r="L199" s="46">
        <f t="shared" ref="L199:L262" si="21">H199/$H$5*$L$5</f>
        <v>3.27691438842582</v>
      </c>
      <c r="M199" s="47">
        <f t="shared" ref="M199:M262" si="22">N199*F199</f>
        <v>95.772750472752</v>
      </c>
      <c r="N199" s="46">
        <f t="shared" ref="N199:N262" si="23">SUM(H199+J199+K199+L199)/F199</f>
        <v>1.5962125078792</v>
      </c>
      <c r="O199" s="48"/>
      <c r="P199" s="48"/>
      <c r="Q199" s="48"/>
      <c r="R199" s="48"/>
    </row>
    <row r="200" s="4" customFormat="1" ht="26.1" customHeight="1" spans="1:18">
      <c r="A200" s="40">
        <v>195</v>
      </c>
      <c r="B200" s="41">
        <v>8955150</v>
      </c>
      <c r="C200" s="41" t="s">
        <v>212</v>
      </c>
      <c r="D200" s="41">
        <v>1</v>
      </c>
      <c r="E200" s="42">
        <v>32</v>
      </c>
      <c r="F200" s="42">
        <v>32</v>
      </c>
      <c r="G200" s="43">
        <v>1.6715</v>
      </c>
      <c r="H200" s="44">
        <f t="shared" si="18"/>
        <v>53.488</v>
      </c>
      <c r="I200" s="45">
        <v>0.03456</v>
      </c>
      <c r="J200" s="46">
        <f t="shared" si="19"/>
        <v>1.66781712589059</v>
      </c>
      <c r="K200" s="46">
        <f t="shared" si="20"/>
        <v>0.01123248</v>
      </c>
      <c r="L200" s="46">
        <f t="shared" si="21"/>
        <v>1.93077326292268</v>
      </c>
      <c r="M200" s="47">
        <f t="shared" si="22"/>
        <v>57.0978228688133</v>
      </c>
      <c r="N200" s="46">
        <f t="shared" si="23"/>
        <v>1.78430696465041</v>
      </c>
      <c r="O200" s="48"/>
      <c r="P200" s="48"/>
      <c r="Q200" s="48"/>
      <c r="R200" s="48"/>
    </row>
    <row r="201" s="4" customFormat="1" ht="26.1" customHeight="1" spans="1:18">
      <c r="A201" s="40">
        <v>196</v>
      </c>
      <c r="B201" s="41">
        <v>6000461</v>
      </c>
      <c r="C201" s="41" t="s">
        <v>213</v>
      </c>
      <c r="D201" s="41">
        <v>15</v>
      </c>
      <c r="E201" s="42">
        <v>24</v>
      </c>
      <c r="F201" s="42">
        <v>360</v>
      </c>
      <c r="G201" s="43">
        <v>1.0375</v>
      </c>
      <c r="H201" s="44">
        <f t="shared" si="18"/>
        <v>373.5</v>
      </c>
      <c r="I201" s="45">
        <v>0.12558</v>
      </c>
      <c r="J201" s="46">
        <f t="shared" si="19"/>
        <v>6.06031466057119</v>
      </c>
      <c r="K201" s="46">
        <f t="shared" si="20"/>
        <v>0.078435</v>
      </c>
      <c r="L201" s="46">
        <f t="shared" si="21"/>
        <v>13.4823476985795</v>
      </c>
      <c r="M201" s="47">
        <f t="shared" si="22"/>
        <v>393.121097359151</v>
      </c>
      <c r="N201" s="46">
        <f t="shared" si="23"/>
        <v>1.09200304821986</v>
      </c>
      <c r="O201" s="48"/>
      <c r="P201" s="48"/>
      <c r="Q201" s="48"/>
      <c r="R201" s="48"/>
    </row>
    <row r="202" s="4" customFormat="1" ht="26.1" customHeight="1" spans="1:18">
      <c r="A202" s="40">
        <v>197</v>
      </c>
      <c r="B202" s="41">
        <v>9047196</v>
      </c>
      <c r="C202" s="41" t="s">
        <v>214</v>
      </c>
      <c r="D202" s="41">
        <v>3</v>
      </c>
      <c r="E202" s="42">
        <v>60</v>
      </c>
      <c r="F202" s="42">
        <v>180</v>
      </c>
      <c r="G202" s="43">
        <v>0.2349</v>
      </c>
      <c r="H202" s="44">
        <f t="shared" si="18"/>
        <v>42.282</v>
      </c>
      <c r="I202" s="45">
        <v>0.102</v>
      </c>
      <c r="J202" s="46">
        <f t="shared" si="19"/>
        <v>4.92237693405209</v>
      </c>
      <c r="K202" s="46">
        <f t="shared" si="20"/>
        <v>0.00887922</v>
      </c>
      <c r="L202" s="46">
        <f t="shared" si="21"/>
        <v>1.52626673464883</v>
      </c>
      <c r="M202" s="47">
        <f t="shared" si="22"/>
        <v>48.7395228887009</v>
      </c>
      <c r="N202" s="46">
        <f t="shared" si="23"/>
        <v>0.270775127159449</v>
      </c>
      <c r="O202" s="48"/>
      <c r="P202" s="48"/>
      <c r="Q202" s="48"/>
      <c r="R202" s="48"/>
    </row>
    <row r="203" s="4" customFormat="1" ht="26.1" customHeight="1" spans="1:18">
      <c r="A203" s="40">
        <v>198</v>
      </c>
      <c r="B203" s="41">
        <v>9047197</v>
      </c>
      <c r="C203" s="41" t="s">
        <v>215</v>
      </c>
      <c r="D203" s="41">
        <v>3</v>
      </c>
      <c r="E203" s="42">
        <v>60</v>
      </c>
      <c r="F203" s="42">
        <v>180</v>
      </c>
      <c r="G203" s="43">
        <v>0.2349</v>
      </c>
      <c r="H203" s="44">
        <f t="shared" si="18"/>
        <v>42.282</v>
      </c>
      <c r="I203" s="45">
        <v>0.102</v>
      </c>
      <c r="J203" s="46">
        <f t="shared" si="19"/>
        <v>4.92237693405209</v>
      </c>
      <c r="K203" s="46">
        <f t="shared" si="20"/>
        <v>0.00887922</v>
      </c>
      <c r="L203" s="46">
        <f t="shared" si="21"/>
        <v>1.52626673464883</v>
      </c>
      <c r="M203" s="47">
        <f t="shared" si="22"/>
        <v>48.7395228887009</v>
      </c>
      <c r="N203" s="46">
        <f t="shared" si="23"/>
        <v>0.270775127159449</v>
      </c>
      <c r="O203" s="48"/>
      <c r="P203" s="48"/>
      <c r="Q203" s="48"/>
      <c r="R203" s="48"/>
    </row>
    <row r="204" s="4" customFormat="1" ht="26.1" customHeight="1" spans="1:18">
      <c r="A204" s="40">
        <v>199</v>
      </c>
      <c r="B204" s="41">
        <v>9047198</v>
      </c>
      <c r="C204" s="41" t="s">
        <v>216</v>
      </c>
      <c r="D204" s="41">
        <v>6</v>
      </c>
      <c r="E204" s="42">
        <v>60</v>
      </c>
      <c r="F204" s="42">
        <v>360</v>
      </c>
      <c r="G204" s="43">
        <v>0.2565</v>
      </c>
      <c r="H204" s="44">
        <f t="shared" si="18"/>
        <v>92.34</v>
      </c>
      <c r="I204" s="45">
        <v>0.234</v>
      </c>
      <c r="J204" s="46">
        <f t="shared" si="19"/>
        <v>11.2925117898842</v>
      </c>
      <c r="K204" s="46">
        <f t="shared" si="20"/>
        <v>0.0193914</v>
      </c>
      <c r="L204" s="46">
        <f t="shared" si="21"/>
        <v>3.33322620210664</v>
      </c>
      <c r="M204" s="47">
        <f t="shared" si="22"/>
        <v>106.985129391991</v>
      </c>
      <c r="N204" s="46">
        <f t="shared" si="23"/>
        <v>0.297180914977752</v>
      </c>
      <c r="O204" s="48"/>
      <c r="P204" s="48"/>
      <c r="Q204" s="48"/>
      <c r="R204" s="48"/>
    </row>
    <row r="205" s="4" customFormat="1" ht="26.1" customHeight="1" spans="1:18">
      <c r="A205" s="40">
        <v>200</v>
      </c>
      <c r="B205" s="41">
        <v>9047200</v>
      </c>
      <c r="C205" s="41" t="s">
        <v>217</v>
      </c>
      <c r="D205" s="41">
        <v>3</v>
      </c>
      <c r="E205" s="42">
        <v>60</v>
      </c>
      <c r="F205" s="42">
        <v>180</v>
      </c>
      <c r="G205" s="43">
        <v>0.2565</v>
      </c>
      <c r="H205" s="44">
        <f t="shared" si="18"/>
        <v>46.17</v>
      </c>
      <c r="I205" s="45">
        <v>0.12</v>
      </c>
      <c r="J205" s="46">
        <f t="shared" si="19"/>
        <v>5.7910316871201</v>
      </c>
      <c r="K205" s="46">
        <f t="shared" si="20"/>
        <v>0.0096957</v>
      </c>
      <c r="L205" s="46">
        <f t="shared" si="21"/>
        <v>1.66661310105332</v>
      </c>
      <c r="M205" s="47">
        <f t="shared" si="22"/>
        <v>53.6373404881734</v>
      </c>
      <c r="N205" s="46">
        <f t="shared" si="23"/>
        <v>0.297985224934297</v>
      </c>
      <c r="O205" s="48"/>
      <c r="P205" s="48"/>
      <c r="Q205" s="48"/>
      <c r="R205" s="48"/>
    </row>
    <row r="206" s="4" customFormat="1" ht="26.1" customHeight="1" spans="1:18">
      <c r="A206" s="40">
        <v>201</v>
      </c>
      <c r="B206" s="41">
        <v>9047201</v>
      </c>
      <c r="C206" s="41" t="s">
        <v>218</v>
      </c>
      <c r="D206" s="41">
        <v>3</v>
      </c>
      <c r="E206" s="42">
        <v>60</v>
      </c>
      <c r="F206" s="42">
        <v>180</v>
      </c>
      <c r="G206" s="43">
        <v>0.2565</v>
      </c>
      <c r="H206" s="44">
        <f t="shared" si="18"/>
        <v>46.17</v>
      </c>
      <c r="I206" s="45">
        <v>0.117</v>
      </c>
      <c r="J206" s="46">
        <f t="shared" si="19"/>
        <v>5.6462558949421</v>
      </c>
      <c r="K206" s="46">
        <f t="shared" si="20"/>
        <v>0.0096957</v>
      </c>
      <c r="L206" s="46">
        <f t="shared" si="21"/>
        <v>1.66661310105332</v>
      </c>
      <c r="M206" s="47">
        <f t="shared" si="22"/>
        <v>53.4925646959954</v>
      </c>
      <c r="N206" s="46">
        <f t="shared" si="23"/>
        <v>0.297180914977752</v>
      </c>
      <c r="O206" s="48"/>
      <c r="P206" s="48"/>
      <c r="Q206" s="48"/>
      <c r="R206" s="48"/>
    </row>
    <row r="207" s="4" customFormat="1" ht="26.1" customHeight="1" spans="1:18">
      <c r="A207" s="40">
        <v>202</v>
      </c>
      <c r="B207" s="41">
        <v>9047313</v>
      </c>
      <c r="C207" s="41" t="s">
        <v>219</v>
      </c>
      <c r="D207" s="41">
        <v>2</v>
      </c>
      <c r="E207" s="42">
        <v>60</v>
      </c>
      <c r="F207" s="42">
        <v>120</v>
      </c>
      <c r="G207" s="43">
        <v>0.2853</v>
      </c>
      <c r="H207" s="44">
        <f t="shared" si="18"/>
        <v>34.236</v>
      </c>
      <c r="I207" s="45">
        <v>0.12</v>
      </c>
      <c r="J207" s="46">
        <f t="shared" si="19"/>
        <v>5.7910316871201</v>
      </c>
      <c r="K207" s="46">
        <f t="shared" si="20"/>
        <v>0.00718956</v>
      </c>
      <c r="L207" s="46">
        <f t="shared" si="21"/>
        <v>1.23582772639509</v>
      </c>
      <c r="M207" s="47">
        <f t="shared" si="22"/>
        <v>41.2700489735152</v>
      </c>
      <c r="N207" s="46">
        <f t="shared" si="23"/>
        <v>0.343917074779293</v>
      </c>
      <c r="O207" s="48"/>
      <c r="P207" s="48"/>
      <c r="Q207" s="48"/>
      <c r="R207" s="48"/>
    </row>
    <row r="208" s="4" customFormat="1" ht="26.1" customHeight="1" spans="1:18">
      <c r="A208" s="40">
        <v>203</v>
      </c>
      <c r="B208" s="41">
        <v>9048082</v>
      </c>
      <c r="C208" s="41" t="s">
        <v>220</v>
      </c>
      <c r="D208" s="41">
        <v>6</v>
      </c>
      <c r="E208" s="42">
        <v>60</v>
      </c>
      <c r="F208" s="42">
        <v>360</v>
      </c>
      <c r="G208" s="43">
        <v>0.2421</v>
      </c>
      <c r="H208" s="44">
        <f t="shared" si="18"/>
        <v>87.156</v>
      </c>
      <c r="I208" s="45">
        <v>0.204</v>
      </c>
      <c r="J208" s="46">
        <f t="shared" si="19"/>
        <v>9.84475386810417</v>
      </c>
      <c r="K208" s="46">
        <f t="shared" si="20"/>
        <v>0.01830276</v>
      </c>
      <c r="L208" s="46">
        <f t="shared" si="21"/>
        <v>3.14609771356732</v>
      </c>
      <c r="M208" s="47">
        <f t="shared" si="22"/>
        <v>100.165154341671</v>
      </c>
      <c r="N208" s="46">
        <f t="shared" si="23"/>
        <v>0.278236539837976</v>
      </c>
      <c r="O208" s="48"/>
      <c r="P208" s="48"/>
      <c r="Q208" s="48"/>
      <c r="R208" s="48"/>
    </row>
    <row r="209" s="4" customFormat="1" ht="26.1" customHeight="1" spans="1:18">
      <c r="A209" s="40">
        <v>204</v>
      </c>
      <c r="B209" s="41">
        <v>9048083</v>
      </c>
      <c r="C209" s="41" t="s">
        <v>221</v>
      </c>
      <c r="D209" s="41">
        <v>3</v>
      </c>
      <c r="E209" s="42">
        <v>60</v>
      </c>
      <c r="F209" s="42">
        <v>180</v>
      </c>
      <c r="G209" s="43">
        <v>0.2421</v>
      </c>
      <c r="H209" s="44">
        <f t="shared" si="18"/>
        <v>43.578</v>
      </c>
      <c r="I209" s="45">
        <v>0.102</v>
      </c>
      <c r="J209" s="46">
        <f t="shared" si="19"/>
        <v>4.92237693405209</v>
      </c>
      <c r="K209" s="46">
        <f t="shared" si="20"/>
        <v>0.00915138</v>
      </c>
      <c r="L209" s="46">
        <f t="shared" si="21"/>
        <v>1.57304885678366</v>
      </c>
      <c r="M209" s="47">
        <f t="shared" si="22"/>
        <v>50.0825771708357</v>
      </c>
      <c r="N209" s="46">
        <f t="shared" si="23"/>
        <v>0.278236539837976</v>
      </c>
      <c r="O209" s="48"/>
      <c r="P209" s="48"/>
      <c r="Q209" s="48"/>
      <c r="R209" s="48"/>
    </row>
    <row r="210" s="4" customFormat="1" ht="26.1" customHeight="1" spans="1:18">
      <c r="A210" s="40">
        <v>205</v>
      </c>
      <c r="B210" s="41">
        <v>9048084</v>
      </c>
      <c r="C210" s="41" t="s">
        <v>222</v>
      </c>
      <c r="D210" s="41">
        <v>5</v>
      </c>
      <c r="E210" s="42">
        <v>60</v>
      </c>
      <c r="F210" s="42">
        <v>300</v>
      </c>
      <c r="G210" s="43">
        <v>0.2666</v>
      </c>
      <c r="H210" s="44">
        <f t="shared" si="18"/>
        <v>79.98</v>
      </c>
      <c r="I210" s="45">
        <v>0.1925</v>
      </c>
      <c r="J210" s="46">
        <f t="shared" si="19"/>
        <v>9.2897799980885</v>
      </c>
      <c r="K210" s="46">
        <f t="shared" si="20"/>
        <v>0.0167958</v>
      </c>
      <c r="L210" s="46">
        <f t="shared" si="21"/>
        <v>2.88706337063557</v>
      </c>
      <c r="M210" s="47">
        <f t="shared" si="22"/>
        <v>92.1736391687241</v>
      </c>
      <c r="N210" s="46">
        <f t="shared" si="23"/>
        <v>0.307245463895747</v>
      </c>
      <c r="O210" s="48"/>
      <c r="P210" s="48"/>
      <c r="Q210" s="48"/>
      <c r="R210" s="48"/>
    </row>
    <row r="211" s="4" customFormat="1" ht="26.1" customHeight="1" spans="1:18">
      <c r="A211" s="40">
        <v>206</v>
      </c>
      <c r="B211" s="41">
        <v>9048085</v>
      </c>
      <c r="C211" s="41" t="s">
        <v>223</v>
      </c>
      <c r="D211" s="41">
        <v>4</v>
      </c>
      <c r="E211" s="42">
        <v>60</v>
      </c>
      <c r="F211" s="42">
        <v>240</v>
      </c>
      <c r="G211" s="43">
        <v>0.281</v>
      </c>
      <c r="H211" s="44">
        <f t="shared" si="18"/>
        <v>67.44</v>
      </c>
      <c r="I211" s="45">
        <v>0.154</v>
      </c>
      <c r="J211" s="46">
        <f t="shared" si="19"/>
        <v>7.4318239984708</v>
      </c>
      <c r="K211" s="46">
        <f t="shared" si="20"/>
        <v>0.0141624</v>
      </c>
      <c r="L211" s="46">
        <f t="shared" si="21"/>
        <v>2.43440302220134</v>
      </c>
      <c r="M211" s="47">
        <f t="shared" si="22"/>
        <v>77.3203894206721</v>
      </c>
      <c r="N211" s="46">
        <f t="shared" si="23"/>
        <v>0.322168289252801</v>
      </c>
      <c r="O211" s="48"/>
      <c r="P211" s="48"/>
      <c r="Q211" s="48"/>
      <c r="R211" s="48"/>
    </row>
    <row r="212" s="4" customFormat="1" ht="26.1" customHeight="1" spans="1:18">
      <c r="A212" s="40">
        <v>207</v>
      </c>
      <c r="B212" s="41">
        <v>9048086</v>
      </c>
      <c r="C212" s="41" t="s">
        <v>224</v>
      </c>
      <c r="D212" s="41">
        <v>5</v>
      </c>
      <c r="E212" s="42">
        <v>60</v>
      </c>
      <c r="F212" s="42">
        <v>300</v>
      </c>
      <c r="G212" s="43">
        <v>0.281</v>
      </c>
      <c r="H212" s="44">
        <f t="shared" si="18"/>
        <v>84.3</v>
      </c>
      <c r="I212" s="45">
        <v>0.1925</v>
      </c>
      <c r="J212" s="46">
        <f t="shared" si="19"/>
        <v>9.2897799980885</v>
      </c>
      <c r="K212" s="46">
        <f t="shared" si="20"/>
        <v>0.017703</v>
      </c>
      <c r="L212" s="46">
        <f t="shared" si="21"/>
        <v>3.04300377775167</v>
      </c>
      <c r="M212" s="47">
        <f t="shared" si="22"/>
        <v>96.6504867758402</v>
      </c>
      <c r="N212" s="46">
        <f t="shared" si="23"/>
        <v>0.322168289252801</v>
      </c>
      <c r="O212" s="48"/>
      <c r="P212" s="48"/>
      <c r="Q212" s="48"/>
      <c r="R212" s="48"/>
    </row>
    <row r="213" s="4" customFormat="1" ht="26.1" customHeight="1" spans="1:18">
      <c r="A213" s="40">
        <v>208</v>
      </c>
      <c r="B213" s="41">
        <v>9048087</v>
      </c>
      <c r="C213" s="41" t="s">
        <v>225</v>
      </c>
      <c r="D213" s="41">
        <v>5</v>
      </c>
      <c r="E213" s="42">
        <v>60</v>
      </c>
      <c r="F213" s="42">
        <v>300</v>
      </c>
      <c r="G213" s="43">
        <v>0.281</v>
      </c>
      <c r="H213" s="44">
        <f t="shared" si="18"/>
        <v>84.3</v>
      </c>
      <c r="I213" s="45">
        <v>0.1925</v>
      </c>
      <c r="J213" s="46">
        <f t="shared" si="19"/>
        <v>9.2897799980885</v>
      </c>
      <c r="K213" s="46">
        <f t="shared" si="20"/>
        <v>0.017703</v>
      </c>
      <c r="L213" s="46">
        <f t="shared" si="21"/>
        <v>3.04300377775167</v>
      </c>
      <c r="M213" s="47">
        <f t="shared" si="22"/>
        <v>96.6504867758402</v>
      </c>
      <c r="N213" s="46">
        <f t="shared" si="23"/>
        <v>0.322168289252801</v>
      </c>
      <c r="O213" s="48"/>
      <c r="P213" s="48"/>
      <c r="Q213" s="48"/>
      <c r="R213" s="48"/>
    </row>
    <row r="214" s="4" customFormat="1" ht="26.1" customHeight="1" spans="1:18">
      <c r="A214" s="40">
        <v>209</v>
      </c>
      <c r="B214" s="41">
        <v>9048089</v>
      </c>
      <c r="C214" s="41" t="s">
        <v>226</v>
      </c>
      <c r="D214" s="41">
        <v>5</v>
      </c>
      <c r="E214" s="42">
        <v>60</v>
      </c>
      <c r="F214" s="42">
        <v>300</v>
      </c>
      <c r="G214" s="43">
        <v>0.281</v>
      </c>
      <c r="H214" s="44">
        <f t="shared" si="18"/>
        <v>84.3</v>
      </c>
      <c r="I214" s="45">
        <v>0.1925</v>
      </c>
      <c r="J214" s="46">
        <f t="shared" si="19"/>
        <v>9.2897799980885</v>
      </c>
      <c r="K214" s="46">
        <f t="shared" si="20"/>
        <v>0.017703</v>
      </c>
      <c r="L214" s="46">
        <f t="shared" si="21"/>
        <v>3.04300377775167</v>
      </c>
      <c r="M214" s="47">
        <f t="shared" si="22"/>
        <v>96.6504867758402</v>
      </c>
      <c r="N214" s="46">
        <f t="shared" si="23"/>
        <v>0.322168289252801</v>
      </c>
      <c r="O214" s="48"/>
      <c r="P214" s="48"/>
      <c r="Q214" s="48"/>
      <c r="R214" s="48"/>
    </row>
    <row r="215" s="4" customFormat="1" ht="26.1" customHeight="1" spans="1:18">
      <c r="A215" s="40">
        <v>210</v>
      </c>
      <c r="B215" s="41">
        <v>9048755</v>
      </c>
      <c r="C215" s="41" t="s">
        <v>227</v>
      </c>
      <c r="D215" s="41">
        <v>5</v>
      </c>
      <c r="E215" s="42">
        <v>60</v>
      </c>
      <c r="F215" s="42">
        <v>300</v>
      </c>
      <c r="G215" s="43">
        <v>0.3141</v>
      </c>
      <c r="H215" s="44">
        <f t="shared" si="18"/>
        <v>94.23</v>
      </c>
      <c r="I215" s="45">
        <v>0.174</v>
      </c>
      <c r="J215" s="46">
        <f t="shared" si="19"/>
        <v>8.39699594632415</v>
      </c>
      <c r="K215" s="46">
        <f t="shared" si="20"/>
        <v>0.0197883</v>
      </c>
      <c r="L215" s="46">
        <f t="shared" si="21"/>
        <v>3.40145013021993</v>
      </c>
      <c r="M215" s="47">
        <f t="shared" si="22"/>
        <v>106.048234376544</v>
      </c>
      <c r="N215" s="46">
        <f t="shared" si="23"/>
        <v>0.35349411458848</v>
      </c>
      <c r="O215" s="48"/>
      <c r="P215" s="48"/>
      <c r="Q215" s="48"/>
      <c r="R215" s="48"/>
    </row>
  </sheetData>
  <mergeCells count="4">
    <mergeCell ref="A2:C2"/>
    <mergeCell ref="D2:F2"/>
    <mergeCell ref="G3:H3"/>
    <mergeCell ref="M3:N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USD COSTING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Lois</cp:lastModifiedBy>
  <dcterms:created xsi:type="dcterms:W3CDTF">2019-10-03T02:38:00Z</dcterms:created>
  <cp:lastPrinted>2021-03-01T07:19:00Z</cp:lastPrinted>
  <dcterms:modified xsi:type="dcterms:W3CDTF">2026-02-04T09:08:53Z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0B1AA4F2F6AB4D13B10AEC8A4B64AC43</vt:lpwstr>
  </property>
  <property fmtid="{D5CDD505-2E9C-101B-9397-08002B2CF9AE}" pid="4" name="CalculationRule">
    <vt:i4>0</vt:i4>
  </property>
</Properties>
</file>